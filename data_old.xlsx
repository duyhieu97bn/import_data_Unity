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color theme="1"/>
      <sz val="11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&quot;Times New Roman&quot;"/>
      <color rgb="FF000000"/>
      <sz val="11"/>
    </font>
    <font>
      <name val="&quot;Times New Roman&quot;"/>
      <color rgb="FF000000"/>
      <sz val="12"/>
    </font>
    <font>
      <name val="Calibri"/>
      <color theme="1"/>
      <sz val="11"/>
      <scheme val="minor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8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13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7C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6" fillId="0" borderId="1" pivotButton="0" quotePrefix="0" xfId="0"/>
    <xf numFmtId="49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6" applyAlignment="1" pivotButton="0" quotePrefix="0" xfId="0">
      <alignment horizontal="center" vertical="top"/>
    </xf>
    <xf numFmtId="49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7" borderId="7" applyAlignment="1" pivotButton="0" quotePrefix="0" xfId="0">
      <alignment horizontal="center" vertical="center" wrapText="1"/>
    </xf>
    <xf numFmtId="0" fontId="7" fillId="7" borderId="8" applyAlignment="1" pivotButton="0" quotePrefix="0" xfId="0">
      <alignment horizontal="center" vertical="center" wrapText="1"/>
    </xf>
    <xf numFmtId="0" fontId="0" fillId="7" borderId="8" applyAlignment="1" pivotButton="0" quotePrefix="0" xfId="0">
      <alignment vertical="center" wrapText="1"/>
    </xf>
    <xf numFmtId="0" fontId="8" fillId="7" borderId="8" applyAlignment="1" pivotButton="0" quotePrefix="0" xfId="0">
      <alignment horizontal="center" vertical="center" wrapText="1"/>
    </xf>
    <xf numFmtId="0" fontId="0" fillId="7" borderId="9" applyAlignment="1" pivotButton="0" quotePrefix="0" xfId="0">
      <alignment vertical="center" wrapText="1"/>
    </xf>
    <xf numFmtId="0" fontId="0" fillId="8" borderId="10" applyAlignment="1" pivotButton="0" quotePrefix="0" xfId="0">
      <alignment wrapText="1"/>
    </xf>
    <xf numFmtId="0" fontId="0" fillId="8" borderId="11" applyAlignment="1" pivotButton="0" quotePrefix="0" xfId="0">
      <alignment wrapText="1"/>
    </xf>
    <xf numFmtId="0" fontId="9" fillId="8" borderId="11" applyAlignment="1" pivotButton="0" quotePrefix="0" xfId="0">
      <alignment horizontal="center" wrapText="1"/>
    </xf>
    <xf numFmtId="0" fontId="0" fillId="9" borderId="10" applyAlignment="1" pivotButton="0" quotePrefix="0" xfId="0">
      <alignment wrapText="1"/>
    </xf>
    <xf numFmtId="0" fontId="0" fillId="0" borderId="11" applyAlignment="1" pivotButton="0" quotePrefix="0" xfId="0">
      <alignment vertical="center" wrapText="1"/>
    </xf>
    <xf numFmtId="0" fontId="0" fillId="9" borderId="11" applyAlignment="1" pivotButton="0" quotePrefix="0" xfId="0">
      <alignment vertical="center" wrapText="1"/>
    </xf>
    <xf numFmtId="0" fontId="0" fillId="10" borderId="11" applyAlignment="1" pivotButton="0" quotePrefix="0" xfId="0">
      <alignment vertical="center" wrapText="1"/>
    </xf>
    <xf numFmtId="0" fontId="0" fillId="0" borderId="11" applyAlignment="1" pivotButton="0" quotePrefix="0" xfId="0">
      <alignment wrapText="1"/>
    </xf>
    <xf numFmtId="0" fontId="0" fillId="9" borderId="11" applyAlignment="1" pivotButton="0" quotePrefix="0" xfId="0">
      <alignment wrapText="1"/>
    </xf>
    <xf numFmtId="0" fontId="0" fillId="11" borderId="1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center" wrapText="1"/>
    </xf>
    <xf numFmtId="164" fontId="3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9" borderId="10" applyAlignment="1" pivotButton="0" quotePrefix="0" xfId="0">
      <alignment horizontal="center" wrapText="1"/>
    </xf>
    <xf numFmtId="0" fontId="10" fillId="0" borderId="11" applyAlignment="1" pivotButton="0" quotePrefix="0" xfId="0">
      <alignment horizontal="center" vertical="center" wrapText="1"/>
    </xf>
    <xf numFmtId="14" fontId="10" fillId="9" borderId="11" applyAlignment="1" pivotButton="0" quotePrefix="0" xfId="0">
      <alignment horizontal="center" vertical="center" wrapText="1"/>
    </xf>
    <xf numFmtId="0" fontId="10" fillId="10" borderId="11" applyAlignment="1" pivotButton="0" quotePrefix="0" xfId="0">
      <alignment horizontal="center" vertical="center" wrapText="1"/>
    </xf>
    <xf numFmtId="0" fontId="10" fillId="12" borderId="11" applyAlignment="1" pivotButton="0" quotePrefix="0" xfId="0">
      <alignment horizontal="center" vertical="center" wrapText="1"/>
    </xf>
    <xf numFmtId="0" fontId="10" fillId="10" borderId="11" applyAlignment="1" pivotButton="0" quotePrefix="0" xfId="0">
      <alignment vertical="center" wrapText="1"/>
    </xf>
    <xf numFmtId="0" fontId="10" fillId="0" borderId="11" applyAlignment="1" pivotButton="0" quotePrefix="0" xfId="0">
      <alignment horizontal="center" wrapText="1"/>
    </xf>
    <xf numFmtId="0" fontId="10" fillId="9" borderId="11" applyAlignment="1" pivotButton="0" quotePrefix="0" xfId="0">
      <alignment horizontal="center" vertical="center" wrapText="1"/>
    </xf>
    <xf numFmtId="0" fontId="10" fillId="9" borderId="11" applyAlignment="1" pivotButton="0" quotePrefix="0" xfId="0">
      <alignment horizontal="center" wrapText="1"/>
    </xf>
    <xf numFmtId="0" fontId="10" fillId="0" borderId="11" applyAlignment="1" pivotButton="0" quotePrefix="0" xfId="0">
      <alignment wrapText="1"/>
    </xf>
    <xf numFmtId="0" fontId="10" fillId="8" borderId="11" applyAlignment="1" pivotButton="0" quotePrefix="0" xfId="0">
      <alignment horizontal="center" vertical="center" wrapText="1"/>
    </xf>
    <xf numFmtId="14" fontId="10" fillId="0" borderId="11" applyAlignment="1" pivotButton="0" quotePrefix="0" xfId="0">
      <alignment horizontal="center" vertical="center" wrapText="1"/>
    </xf>
    <xf numFmtId="0" fontId="10" fillId="9" borderId="11" applyAlignment="1" pivotButton="0" quotePrefix="0" xfId="0">
      <alignment vertical="center" wrapText="1"/>
    </xf>
    <xf numFmtId="0" fontId="10" fillId="9" borderId="11" applyAlignment="1" pivotButton="0" quotePrefix="0" xfId="0">
      <alignment horizontal="right" vertical="center" wrapText="1"/>
    </xf>
    <xf numFmtId="9" fontId="10" fillId="0" borderId="11" applyAlignment="1" pivotButton="0" quotePrefix="0" xfId="0">
      <alignment horizontal="center" vertical="center" wrapText="1"/>
    </xf>
    <xf numFmtId="0" fontId="10" fillId="10" borderId="11" applyAlignment="1" pivotButton="0" quotePrefix="0" xfId="0">
      <alignment horizontal="right" vertical="center" wrapText="1"/>
    </xf>
    <xf numFmtId="0" fontId="10" fillId="11" borderId="11" applyAlignment="1" pivotButton="0" quotePrefix="0" xfId="0">
      <alignment horizontal="right" vertical="center" wrapText="1"/>
    </xf>
    <xf numFmtId="0" fontId="10" fillId="0" borderId="11" applyAlignment="1" pivotButton="0" quotePrefix="0" xfId="0">
      <alignment vertical="center" wrapText="1"/>
    </xf>
    <xf numFmtId="0" fontId="0" fillId="0" borderId="0" pivotButton="0" quotePrefix="0" xfId="0"/>
    <xf numFmtId="0" fontId="10" fillId="11" borderId="11" applyAlignment="1" pivotButton="0" quotePrefix="0" xfId="0">
      <alignment horizontal="center" vertical="center" wrapText="1"/>
    </xf>
    <xf numFmtId="0" fontId="10" fillId="9" borderId="9" applyAlignment="1" pivotButton="0" quotePrefix="0" xfId="0">
      <alignment vertical="center"/>
    </xf>
    <xf numFmtId="0" fontId="10" fillId="10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ER22"/>
  <sheetViews>
    <sheetView tabSelected="1" topLeftCell="A15" workbookViewId="0">
      <selection activeCell="A4" sqref="A4:XFD21"/>
    </sheetView>
  </sheetViews>
  <sheetFormatPr baseColWidth="8" defaultColWidth="31.85546875" defaultRowHeight="15"/>
  <cols>
    <col width="4.42578125" bestFit="1" customWidth="1" style="75" min="1" max="1"/>
    <col width="5.5703125" bestFit="1" customWidth="1" style="75" min="2" max="2"/>
    <col width="5" bestFit="1" customWidth="1" style="75" min="3" max="3"/>
    <col width="6" bestFit="1" customWidth="1" style="75" min="4" max="4"/>
    <col width="5" bestFit="1" customWidth="1" style="75" min="5" max="5"/>
    <col width="13.7109375" bestFit="1" customWidth="1" style="75" min="6" max="6"/>
    <col width="3.5703125" bestFit="1" customWidth="1" style="75" min="7" max="7"/>
    <col width="5" bestFit="1" customWidth="1" style="75" min="8" max="8"/>
    <col width="13.140625" bestFit="1" customWidth="1" style="75" min="9" max="9"/>
    <col width="20.42578125" bestFit="1" customWidth="1" style="75" min="10" max="10"/>
    <col width="17.7109375" bestFit="1" customWidth="1" style="75" min="11" max="11"/>
    <col width="10" bestFit="1" customWidth="1" style="75" min="12" max="12"/>
    <col width="11.85546875" bestFit="1" customWidth="1" style="75" min="13" max="13"/>
    <col width="6.28515625" bestFit="1" customWidth="1" style="75" min="14" max="14"/>
    <col width="10.85546875" bestFit="1" customWidth="1" style="75" min="15" max="15"/>
    <col width="4" bestFit="1" customWidth="1" style="75" min="16" max="16"/>
    <col width="7.28515625" bestFit="1" customWidth="1" style="75" min="17" max="18"/>
    <col width="7.140625" bestFit="1" customWidth="1" style="75" min="19" max="19"/>
    <col width="7.85546875" bestFit="1" customWidth="1" style="75" min="20" max="20"/>
    <col width="7.7109375" bestFit="1" customWidth="1" style="75" min="21" max="22"/>
    <col width="17.85546875" bestFit="1" customWidth="1" style="75" min="23" max="23"/>
    <col width="5.140625" bestFit="1" customWidth="1" style="75" min="24" max="24"/>
    <col width="3.85546875" bestFit="1" customWidth="1" style="75" min="25" max="25"/>
    <col width="13.5703125" bestFit="1" customWidth="1" style="75" min="26" max="26"/>
    <col width="7.85546875" bestFit="1" customWidth="1" style="75" min="27" max="27"/>
    <col width="12.28515625" bestFit="1" customWidth="1" style="75" min="28" max="28"/>
    <col width="12.85546875" bestFit="1" customWidth="1" style="75" min="29" max="29"/>
    <col width="10" bestFit="1" customWidth="1" style="75" min="30" max="30"/>
    <col width="9.28515625" bestFit="1" customWidth="1" style="75" min="31" max="31"/>
    <col width="11.85546875" bestFit="1" customWidth="1" style="75" min="32" max="32"/>
    <col width="12" bestFit="1" customWidth="1" style="75" min="33" max="33"/>
    <col width="13.7109375" bestFit="1" customWidth="1" style="75" min="34" max="34"/>
    <col width="10.42578125" bestFit="1" customWidth="1" style="75" min="35" max="35"/>
    <col width="12" bestFit="1" customWidth="1" style="75" min="36" max="36"/>
    <col width="8.140625" bestFit="1" customWidth="1" style="75" min="37" max="37"/>
    <col width="14.85546875" bestFit="1" customWidth="1" style="75" min="38" max="38"/>
    <col width="18.7109375" bestFit="1" customWidth="1" style="75" min="39" max="39"/>
    <col width="22.7109375" bestFit="1" customWidth="1" style="75" min="40" max="41"/>
    <col width="3.42578125" customWidth="1" style="75" min="42" max="42"/>
    <col width="3.28515625" customWidth="1" style="75" min="43" max="43"/>
    <col width="8.140625" bestFit="1" customWidth="1" style="75" min="44" max="44"/>
    <col width="21.5703125" bestFit="1" customWidth="1" style="75" min="45" max="45"/>
    <col width="11.28515625" bestFit="1" customWidth="1" style="75" min="46" max="46"/>
    <col width="15.42578125" bestFit="1" customWidth="1" style="75" min="47" max="47"/>
    <col width="4.7109375" bestFit="1" customWidth="1" style="75" min="48" max="48"/>
    <col width="17" bestFit="1" customWidth="1" style="75" min="49" max="49"/>
    <col width="25.85546875" bestFit="1" customWidth="1" style="75" min="50" max="50"/>
    <col width="10.140625" bestFit="1" customWidth="1" style="75" min="51" max="51"/>
    <col width="14.7109375" bestFit="1" customWidth="1" style="75" min="52" max="52"/>
    <col width="15.28515625" bestFit="1" customWidth="1" style="75" min="53" max="54"/>
    <col width="12.5703125" bestFit="1" customWidth="1" style="75" min="55" max="55"/>
    <col width="10.140625" bestFit="1" customWidth="1" style="75" min="56" max="56"/>
    <col width="9.85546875" bestFit="1" customWidth="1" style="75" min="57" max="57"/>
    <col width="18.28515625" bestFit="1" customWidth="1" style="75" min="58" max="58"/>
    <col width="10.140625" bestFit="1" customWidth="1" style="75" min="59" max="59"/>
    <col width="13.5703125" bestFit="1" customWidth="1" style="75" min="60" max="60"/>
    <col width="22.140625" bestFit="1" customWidth="1" style="75" min="61" max="61"/>
    <col width="29.28515625" bestFit="1" customWidth="1" style="75" min="62" max="62"/>
    <col width="16.85546875" bestFit="1" customWidth="1" style="75" min="63" max="63"/>
    <col width="11.42578125" bestFit="1" customWidth="1" style="75" min="64" max="64"/>
    <col width="19.140625" bestFit="1" customWidth="1" style="75" min="65" max="65"/>
    <col width="14" bestFit="1" customWidth="1" style="75" min="66" max="66"/>
    <col width="17.7109375" bestFit="1" customWidth="1" style="75" min="67" max="67"/>
    <col width="6.7109375" bestFit="1" customWidth="1" style="75" min="68" max="68"/>
    <col width="11.85546875" bestFit="1" customWidth="1" style="75" min="69" max="69"/>
    <col width="10.140625" bestFit="1" customWidth="1" style="75" min="70" max="70"/>
    <col width="7" bestFit="1" customWidth="1" style="75" min="71" max="71"/>
    <col width="10.140625" bestFit="1" customWidth="1" style="75" min="72" max="72"/>
    <col width="8.85546875" bestFit="1" customWidth="1" style="75" min="73" max="73"/>
    <col width="10.5703125" bestFit="1" customWidth="1" style="75" min="74" max="74"/>
    <col width="8.85546875" bestFit="1" customWidth="1" style="75" min="75" max="75"/>
    <col width="19.140625" bestFit="1" customWidth="1" style="75" min="76" max="76"/>
    <col width="13.28515625" bestFit="1" customWidth="1" style="75" min="77" max="77"/>
    <col width="10.5703125" bestFit="1" customWidth="1" style="75" min="78" max="78"/>
    <col width="9" bestFit="1" customWidth="1" style="75" min="79" max="79"/>
    <col width="6.42578125" bestFit="1" customWidth="1" style="75" min="80" max="80"/>
    <col width="9" bestFit="1" customWidth="1" style="75" min="81" max="81"/>
    <col width="14.5703125" bestFit="1" customWidth="1" style="75" min="82" max="82"/>
    <col width="27.85546875" bestFit="1" customWidth="1" style="75" min="83" max="83"/>
    <col width="31.42578125" bestFit="1" customWidth="1" style="75" min="84" max="84"/>
    <col width="2" bestFit="1" customWidth="1" style="75" min="85" max="85"/>
    <col width="11" bestFit="1" customWidth="1" style="75" min="86" max="86"/>
    <col width="10.28515625" bestFit="1" customWidth="1" style="75" min="88" max="88"/>
    <col width="14.5703125" bestFit="1" customWidth="1" style="75" min="89" max="89"/>
    <col width="2" bestFit="1" customWidth="1" style="75" min="90" max="91"/>
    <col width="18.85546875" bestFit="1" customWidth="1" style="75" min="93" max="93"/>
    <col width="5" bestFit="1" customWidth="1" style="75" min="94" max="94"/>
    <col width="23.7109375" bestFit="1" customWidth="1" style="75" min="95" max="95"/>
    <col width="8.140625" bestFit="1" customWidth="1" style="75" min="96" max="97"/>
  </cols>
  <sheetData>
    <row r="1" ht="26.25" customHeight="1" s="75" thickBot="1">
      <c r="A1" s="28" t="inlineStr">
        <is>
          <t>STT</t>
        </is>
      </c>
      <c r="B1" s="29" t="inlineStr">
        <is>
          <t>CLB</t>
        </is>
      </c>
      <c r="C1" s="29" t="inlineStr">
        <is>
          <t>Ngày</t>
        </is>
      </c>
      <c r="D1" s="29" t="inlineStr">
        <is>
          <t>Tháng</t>
        </is>
      </c>
      <c r="E1" s="29" t="inlineStr">
        <is>
          <t>Năm</t>
        </is>
      </c>
      <c r="F1" s="29" t="inlineStr">
        <is>
          <t>Ngày tháng năm</t>
        </is>
      </c>
      <c r="G1" s="29" t="inlineStr">
        <is>
          <t>QS</t>
        </is>
      </c>
      <c r="H1" s="29" t="inlineStr">
        <is>
          <t>Số
BN</t>
        </is>
      </c>
      <c r="I1" s="29" t="inlineStr">
        <is>
          <t>Mã khách hàng</t>
        </is>
      </c>
      <c r="J1" s="29" t="inlineStr">
        <is>
          <t>Họ và tên khách hàng</t>
        </is>
      </c>
      <c r="K1" s="29" t="inlineStr">
        <is>
          <t>Ngày tháng năm sinh</t>
        </is>
      </c>
      <c r="L1" s="29" t="inlineStr">
        <is>
          <t>SĐT</t>
        </is>
      </c>
      <c r="M1" s="29" t="inlineStr">
        <is>
          <t>Mã gói</t>
        </is>
      </c>
      <c r="N1" s="29" t="inlineStr">
        <is>
          <t>Sale</t>
        </is>
      </c>
      <c r="O1" s="29" t="inlineStr">
        <is>
          <t>PT chăm sóc</t>
        </is>
      </c>
      <c r="P1" s="30" t="n"/>
      <c r="Q1" s="29" t="inlineStr">
        <is>
          <t>Loại thẻ</t>
        </is>
      </c>
      <c r="R1" s="29" t="inlineStr">
        <is>
          <t>Loại thẻ</t>
        </is>
      </c>
      <c r="S1" s="29" t="inlineStr">
        <is>
          <t>Phân bổ</t>
        </is>
      </c>
      <c r="T1" s="29" t="inlineStr">
        <is>
          <t>CS nhập</t>
        </is>
      </c>
      <c r="U1" s="29" t="inlineStr">
        <is>
          <t>Tổng SS</t>
        </is>
      </c>
      <c r="V1" s="29" t="inlineStr">
        <is>
          <t>PT GYM</t>
        </is>
      </c>
      <c r="W1" s="31" t="inlineStr">
        <is>
          <t>PTTL, PTP, PTSE, PTLE</t>
        </is>
      </c>
      <c r="X1" s="29" t="inlineStr">
        <is>
          <t>Daily</t>
        </is>
      </c>
      <c r="Y1" s="29" t="inlineStr">
        <is>
          <t>Bơi</t>
        </is>
      </c>
      <c r="Z1" s="29" t="inlineStr">
        <is>
          <t>Buổi PT cố định</t>
        </is>
      </c>
      <c r="AA1" s="29" t="inlineStr">
        <is>
          <t>Số tháng</t>
        </is>
      </c>
      <c r="AB1" s="29" t="inlineStr">
        <is>
          <t>Tổng Số tháng</t>
        </is>
      </c>
      <c r="AC1" s="29" t="inlineStr">
        <is>
          <t>cộng tháng, BL</t>
        </is>
      </c>
      <c r="AD1" s="29" t="inlineStr">
        <is>
          <t>Cộng tháng</t>
        </is>
      </c>
      <c r="AE1" s="29" t="inlineStr">
        <is>
          <t>Cộng ngày</t>
        </is>
      </c>
      <c r="AF1" s="29" t="inlineStr">
        <is>
          <t>Gói tập</t>
        </is>
      </c>
      <c r="AG1" s="29" t="inlineStr">
        <is>
          <t>Khung giờ tập</t>
        </is>
      </c>
      <c r="AH1" s="29" t="inlineStr">
        <is>
          <t>Chuyển nhượng</t>
        </is>
      </c>
      <c r="AI1" s="29" t="inlineStr">
        <is>
          <t>Số HĐ</t>
        </is>
      </c>
      <c r="AJ1" s="29" t="inlineStr">
        <is>
          <t>Số tháng, buổi</t>
        </is>
      </c>
      <c r="AK1" s="29" t="inlineStr">
        <is>
          <t>Ngày
bắt đầu</t>
        </is>
      </c>
      <c r="AL1" s="29" t="inlineStr">
        <is>
          <t>Ngày Kết thúc PT</t>
        </is>
      </c>
      <c r="AM1" s="29" t="inlineStr">
        <is>
          <t>Ngày Kết thúc Daily lẻ</t>
        </is>
      </c>
      <c r="AN1" s="29" t="inlineStr">
        <is>
          <t>Ngày Kết thúc MBS của PT</t>
        </is>
      </c>
      <c r="AO1" s="29" t="inlineStr">
        <is>
          <t>Ngày Kết thúc MBS của PT</t>
        </is>
      </c>
      <c r="AP1" s="30" t="n"/>
      <c r="AQ1" s="30" t="n"/>
      <c r="AR1" s="29" t="inlineStr">
        <is>
          <t>Ngày
kết thúc</t>
        </is>
      </c>
      <c r="AS1" s="29" t="inlineStr">
        <is>
          <t>Tình trạng</t>
        </is>
      </c>
      <c r="AT1" s="29" t="inlineStr">
        <is>
          <t>Tổng số ngày</t>
        </is>
      </c>
      <c r="AU1" s="29" t="inlineStr">
        <is>
          <t>Tổng số ngày đã đi</t>
        </is>
      </c>
      <c r="AV1" s="30" t="n"/>
      <c r="AW1" s="29" t="inlineStr">
        <is>
          <t>Tổng số ngày còn lại</t>
        </is>
      </c>
      <c r="AX1" s="29" t="inlineStr">
        <is>
          <t>Quà tặng</t>
        </is>
      </c>
      <c r="AY1" s="29" t="inlineStr">
        <is>
          <t>Đơn giá
niêm yết</t>
        </is>
      </c>
      <c r="AZ1" s="29" t="inlineStr">
        <is>
          <t>Tổng tiền bảo lưu</t>
        </is>
      </c>
      <c r="BA1" s="29" t="inlineStr">
        <is>
          <t>Tổng tiền buổi dạy</t>
        </is>
      </c>
      <c r="BB1" s="29" t="inlineStr">
        <is>
          <t>Tổng tiền buổi dạy</t>
        </is>
      </c>
      <c r="BC1" s="29" t="inlineStr">
        <is>
          <t>Tổng tiền ngày</t>
        </is>
      </c>
      <c r="BD1" s="29" t="inlineStr">
        <is>
          <t>Tổng tiền</t>
        </is>
      </c>
      <c r="BE1" s="29" t="inlineStr">
        <is>
          <t>Mức ưu đãi</t>
        </is>
      </c>
      <c r="BF1" s="29" t="inlineStr">
        <is>
          <t>Số tiền KH được giảm</t>
        </is>
      </c>
      <c r="BG1" s="29" t="inlineStr">
        <is>
          <t>Tổng</t>
        </is>
      </c>
      <c r="BH1" s="29" t="inlineStr">
        <is>
          <t>Số tiền dịch vụ
phải thu của KH</t>
        </is>
      </c>
      <c r="BI1" s="29" t="inlineStr">
        <is>
          <t>BN đặt cọc và tt Phần thiếu</t>
        </is>
      </c>
      <c r="BJ1" s="29" t="inlineStr">
        <is>
          <t>tên gói Nâng cấp, số tiền gia hạn PT</t>
        </is>
      </c>
      <c r="BK1" s="29" t="inlineStr">
        <is>
          <t>Số tiền KH nâng cấp</t>
        </is>
      </c>
      <c r="BL1" s="29" t="inlineStr">
        <is>
          <t>KH đã đặt cọc</t>
        </is>
      </c>
      <c r="BM1" s="29" t="inlineStr">
        <is>
          <t>Tổng Đặt cọc, nâng cấp</t>
        </is>
      </c>
      <c r="BN1" s="29" t="inlineStr">
        <is>
          <t>Còn phải thu KH</t>
        </is>
      </c>
      <c r="BO1" s="29" t="inlineStr">
        <is>
          <t>% sale được tính DT</t>
        </is>
      </c>
      <c r="BP1" s="29" t="inlineStr">
        <is>
          <t>Đặt cọc</t>
        </is>
      </c>
      <c r="BQ1" s="29" t="inlineStr">
        <is>
          <t>TT phần thiếu</t>
        </is>
      </c>
      <c r="BR1" s="29" t="inlineStr">
        <is>
          <t>Đóng Full</t>
        </is>
      </c>
      <c r="BS1" s="29" t="inlineStr">
        <is>
          <t>Phí Pos</t>
        </is>
      </c>
      <c r="BT1" s="29" t="inlineStr">
        <is>
          <t>Doanh thu</t>
        </is>
      </c>
      <c r="BU1" s="29" t="inlineStr">
        <is>
          <t>Hình thức
TT</t>
        </is>
      </c>
      <c r="BV1" s="29" t="inlineStr">
        <is>
          <t>Đã nhận TM</t>
        </is>
      </c>
      <c r="BW1" s="29" t="inlineStr">
        <is>
          <t>CK chung</t>
        </is>
      </c>
      <c r="BX1" s="29" t="inlineStr">
        <is>
          <t>Tổng số tiền CK chung</t>
        </is>
      </c>
      <c r="BY1" s="29" t="inlineStr">
        <is>
          <t>Trạng thái</t>
        </is>
      </c>
      <c r="BZ1" s="29" t="inlineStr">
        <is>
          <t>Tổng gói tập</t>
        </is>
      </c>
      <c r="CA1" s="29" t="inlineStr">
        <is>
          <t>Loại</t>
        </is>
      </c>
      <c r="CB1" s="29" t="inlineStr">
        <is>
          <t>Lượt</t>
        </is>
      </c>
      <c r="CC1" s="29" t="inlineStr">
        <is>
          <t>Nguồn</t>
        </is>
      </c>
      <c r="CD1" s="29" t="inlineStr">
        <is>
          <t>Tình trạng</t>
        </is>
      </c>
      <c r="CE1" s="29" t="inlineStr">
        <is>
          <t>Đã nhập lên hệ thống time soft bởi</t>
        </is>
      </c>
      <c r="CF1" s="29" t="inlineStr">
        <is>
          <t>Ghi chú</t>
        </is>
      </c>
      <c r="CG1" s="30" t="n"/>
      <c r="CH1" s="29" t="inlineStr">
        <is>
          <t>Đã Kích hoạt</t>
        </is>
      </c>
      <c r="CI1" s="30" t="n"/>
      <c r="CJ1" s="30" t="n"/>
      <c r="CK1" s="30" t="n"/>
      <c r="CL1" s="30" t="n"/>
      <c r="CM1" s="30" t="n"/>
      <c r="CN1" s="30" t="n"/>
      <c r="CO1" s="29" t="inlineStr">
        <is>
          <t>Tổng hợp dạy show GX</t>
        </is>
      </c>
      <c r="CP1" s="30" t="n"/>
      <c r="CQ1" s="29" t="inlineStr">
        <is>
          <t>Tháng hoàn thiện HĐ đặt cọc</t>
        </is>
      </c>
      <c r="CR1" s="32" t="n"/>
      <c r="CS1" s="32" t="n"/>
      <c r="CT1" s="32" t="n"/>
      <c r="CU1" s="32" t="n"/>
      <c r="CV1" s="32" t="n"/>
      <c r="CW1" s="32" t="n"/>
      <c r="CX1" s="32" t="n"/>
      <c r="CY1" s="32" t="n"/>
      <c r="CZ1" s="32" t="n"/>
      <c r="DA1" s="32" t="n"/>
      <c r="DB1" s="32" t="n"/>
      <c r="DC1" s="32" t="n"/>
      <c r="DD1" s="32" t="n"/>
    </row>
    <row r="2" ht="15.75" customHeight="1" s="75" thickBot="1">
      <c r="A2" s="33" t="n"/>
      <c r="B2" s="34" t="n"/>
      <c r="C2" s="34" t="n"/>
      <c r="D2" s="34" t="n"/>
      <c r="E2" s="34" t="n"/>
      <c r="F2" s="35" t="inlineStr">
        <is>
          <t>.</t>
        </is>
      </c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5" t="inlineStr">
        <is>
          <t>.</t>
        </is>
      </c>
      <c r="R2" s="35" t="inlineStr">
        <is>
          <t>.</t>
        </is>
      </c>
      <c r="S2" s="35" t="inlineStr">
        <is>
          <t>.</t>
        </is>
      </c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5" t="inlineStr">
        <is>
          <t>.</t>
        </is>
      </c>
      <c r="AG2" s="34" t="n"/>
      <c r="AH2" s="34" t="n"/>
      <c r="AI2" s="34" t="n"/>
      <c r="AJ2" s="35" t="inlineStr">
        <is>
          <t>.</t>
        </is>
      </c>
      <c r="AK2" s="34" t="n"/>
      <c r="AL2" s="34" t="n"/>
      <c r="AM2" s="34" t="n"/>
      <c r="AN2" s="34" t="n"/>
      <c r="AO2" s="34" t="n"/>
      <c r="AP2" s="35" t="inlineStr">
        <is>
          <t>.</t>
        </is>
      </c>
      <c r="AQ2" s="35" t="inlineStr">
        <is>
          <t>.</t>
        </is>
      </c>
      <c r="AR2" s="34" t="n"/>
      <c r="AS2" s="35" t="inlineStr">
        <is>
          <t>.</t>
        </is>
      </c>
      <c r="AT2" s="34" t="n"/>
      <c r="AU2" s="34" t="n"/>
      <c r="AV2" s="34" t="n"/>
      <c r="AW2" s="34" t="n"/>
      <c r="AX2" s="34" t="n"/>
      <c r="AY2" s="34" t="n"/>
      <c r="AZ2" s="34" t="n"/>
      <c r="BA2" s="34" t="n"/>
      <c r="BB2" s="34" t="n"/>
      <c r="BC2" s="34" t="n"/>
      <c r="BD2" s="34" t="n"/>
      <c r="BE2" s="34" t="n"/>
      <c r="BF2" s="34" t="n"/>
      <c r="BG2" s="34" t="n"/>
      <c r="BH2" s="34" t="n"/>
      <c r="BI2" s="34" t="n"/>
      <c r="BJ2" s="34" t="n"/>
      <c r="BK2" s="34" t="n"/>
      <c r="BL2" s="34" t="n"/>
      <c r="BM2" s="34" t="n"/>
      <c r="BN2" s="34" t="n"/>
      <c r="BO2" s="34" t="n"/>
      <c r="BP2" s="34" t="n"/>
      <c r="BQ2" s="34" t="n"/>
      <c r="BR2" s="34" t="n"/>
      <c r="BS2" s="34" t="n"/>
      <c r="BT2" s="34" t="n"/>
      <c r="BU2" s="35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</row>
    <row r="3" ht="15.75" customHeight="1" s="75" thickBot="1">
      <c r="A3" s="36" t="n"/>
      <c r="B3" s="37" t="n"/>
      <c r="C3" s="37" t="n"/>
      <c r="D3" s="37" t="n"/>
      <c r="E3" s="37" t="n"/>
      <c r="F3" s="38" t="n"/>
      <c r="G3" s="39" t="n"/>
      <c r="H3" s="39" t="n"/>
      <c r="I3" s="39" t="n"/>
      <c r="J3" s="37" t="n"/>
      <c r="K3" s="37" t="n"/>
      <c r="L3" s="37" t="n"/>
      <c r="M3" s="37" t="n"/>
      <c r="N3" s="37" t="n"/>
      <c r="O3" s="37" t="n"/>
      <c r="P3" s="40" t="n"/>
      <c r="Q3" s="37" t="n"/>
      <c r="R3" s="38" t="n"/>
      <c r="S3" s="41" t="n"/>
      <c r="T3" s="40" t="n"/>
      <c r="U3" s="38" t="n"/>
      <c r="V3" s="37" t="n"/>
      <c r="W3" s="37" t="n"/>
      <c r="X3" s="37" t="n"/>
      <c r="Y3" s="37" t="n"/>
      <c r="Z3" s="42" t="n"/>
      <c r="AA3" s="38" t="n"/>
      <c r="AB3" s="37" t="n"/>
      <c r="AC3" s="37" t="n"/>
      <c r="AD3" s="37" t="n"/>
      <c r="AE3" s="42" t="n"/>
      <c r="AF3" s="37" t="n"/>
      <c r="AG3" s="37" t="n"/>
      <c r="AH3" s="37" t="n"/>
      <c r="AI3" s="37" t="n"/>
      <c r="AJ3" s="38" t="n"/>
      <c r="AK3" s="37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9" t="n"/>
      <c r="AU3" s="39" t="n"/>
      <c r="AV3" s="39" t="n"/>
      <c r="AW3" s="39" t="n"/>
      <c r="AX3" s="39" t="n"/>
      <c r="AY3" s="38" t="n"/>
      <c r="AZ3" s="38" t="n"/>
      <c r="BA3" s="38" t="n"/>
      <c r="BB3" s="38" t="n"/>
      <c r="BC3" s="38" t="n"/>
      <c r="BD3" s="38" t="n"/>
      <c r="BE3" s="37" t="n"/>
      <c r="BF3" s="37" t="n"/>
      <c r="BG3" s="38" t="n"/>
      <c r="BH3" s="38" t="n"/>
      <c r="BI3" s="37" t="n"/>
      <c r="BJ3" s="37" t="n"/>
      <c r="BK3" s="37" t="n"/>
      <c r="BL3" s="37" t="n"/>
      <c r="BM3" s="38" t="n"/>
      <c r="BN3" s="38" t="n"/>
      <c r="BO3" s="37" t="n"/>
      <c r="BP3" s="39" t="n"/>
      <c r="BQ3" s="39" t="n"/>
      <c r="BR3" s="39" t="n"/>
      <c r="BS3" s="39" t="n"/>
      <c r="BT3" s="42" t="n"/>
      <c r="BU3" s="37" t="n"/>
      <c r="BV3" s="37" t="n"/>
      <c r="BW3" s="37" t="n"/>
      <c r="BX3" s="37" t="n"/>
      <c r="BY3" s="37" t="n"/>
      <c r="BZ3" s="41" t="n"/>
      <c r="CA3" s="37" t="n"/>
      <c r="CB3" s="37" t="n"/>
      <c r="CC3" s="37" t="n"/>
      <c r="CD3" s="37" t="n"/>
      <c r="CE3" s="37" t="n"/>
      <c r="CF3" s="37" t="n"/>
      <c r="CG3" s="39" t="n"/>
      <c r="CH3" s="39" t="n"/>
      <c r="CI3" s="39" t="n"/>
      <c r="CJ3" s="37" t="n"/>
      <c r="CK3" s="37" t="n"/>
      <c r="CL3" s="37" t="n"/>
      <c r="CM3" s="37" t="n"/>
      <c r="CN3" s="37" t="n"/>
      <c r="CO3" s="37" t="n"/>
      <c r="CP3" s="37" t="n"/>
      <c r="CQ3" s="37" t="n"/>
      <c r="CR3" s="37" t="n"/>
      <c r="CS3" s="37" t="n"/>
      <c r="CT3" s="37" t="n"/>
      <c r="CU3" s="37" t="n"/>
      <c r="CV3" s="37" t="n"/>
      <c r="CW3" s="37" t="n"/>
      <c r="CX3" s="37" t="n"/>
      <c r="CY3" s="37" t="n"/>
      <c r="CZ3" s="37" t="n"/>
      <c r="DA3" s="37" t="n"/>
      <c r="DB3" s="37" t="n"/>
      <c r="DC3" s="37" t="n"/>
      <c r="DD3" s="37" t="n"/>
    </row>
    <row r="4" ht="30.75" customHeight="1" s="75" thickBot="1">
      <c r="A4" s="57" t="n">
        <v>1</v>
      </c>
      <c r="B4" s="58" t="inlineStr">
        <is>
          <t>Unity</t>
        </is>
      </c>
      <c r="C4" s="58" t="n">
        <v>2</v>
      </c>
      <c r="D4" s="58" t="n">
        <v>1</v>
      </c>
      <c r="E4" s="58" t="n">
        <v>2026</v>
      </c>
      <c r="F4" s="59" t="n">
        <v>46054</v>
      </c>
      <c r="G4" s="60" t="n">
        <v>85</v>
      </c>
      <c r="H4" s="60" t="n">
        <v>4239</v>
      </c>
      <c r="I4" s="61" t="inlineStr">
        <is>
          <t>CUS0001310</t>
        </is>
      </c>
      <c r="J4" s="62" t="inlineStr">
        <is>
          <t>Lâm Xuân Chiển</t>
        </is>
      </c>
      <c r="K4" s="37" t="n"/>
      <c r="L4" s="58" t="n">
        <v>396912899</v>
      </c>
      <c r="M4" s="58" t="inlineStr">
        <is>
          <t>BL</t>
        </is>
      </c>
      <c r="N4" s="58" t="inlineStr">
        <is>
          <t>Other</t>
        </is>
      </c>
      <c r="O4" s="58" t="inlineStr">
        <is>
          <t>x</t>
        </is>
      </c>
      <c r="P4" s="63" t="inlineStr">
        <is>
          <t>xxx</t>
        </is>
      </c>
      <c r="Q4" s="58" t="inlineStr">
        <is>
          <t>Other</t>
        </is>
      </c>
      <c r="R4" s="64" t="inlineStr">
        <is>
          <t>Other</t>
        </is>
      </c>
      <c r="S4" s="65" t="inlineStr">
        <is>
          <t>xxx</t>
        </is>
      </c>
      <c r="T4" s="66" t="inlineStr">
        <is>
          <t>CS Linh</t>
        </is>
      </c>
      <c r="U4" s="64" t="n">
        <v>0</v>
      </c>
      <c r="V4" s="37" t="n"/>
      <c r="W4" s="37" t="n"/>
      <c r="X4" s="37" t="n"/>
      <c r="Y4" s="37" t="n"/>
      <c r="Z4" s="42" t="n"/>
      <c r="AA4" s="64" t="n">
        <v>1</v>
      </c>
      <c r="AB4" s="37" t="n"/>
      <c r="AC4" s="58" t="n">
        <v>1</v>
      </c>
      <c r="AD4" s="37" t="n"/>
      <c r="AE4" s="42" t="n"/>
      <c r="AF4" s="58" t="inlineStr">
        <is>
          <t>BL</t>
        </is>
      </c>
      <c r="AG4" s="37" t="n"/>
      <c r="AH4" s="37" t="n"/>
      <c r="AI4" s="67" t="inlineStr">
        <is>
          <t>x</t>
        </is>
      </c>
      <c r="AJ4" s="64" t="inlineStr">
        <is>
          <t>Tháng</t>
        </is>
      </c>
      <c r="AK4" s="68" t="n">
        <v>46054</v>
      </c>
      <c r="AL4" s="38" t="n"/>
      <c r="AM4" s="38" t="n"/>
      <c r="AN4" s="59" t="n">
        <v>46024</v>
      </c>
      <c r="AO4" s="59" t="n">
        <v>46024</v>
      </c>
      <c r="AP4" s="38" t="n"/>
      <c r="AQ4" s="38" t="n"/>
      <c r="AR4" s="59" t="n">
        <v>46024</v>
      </c>
      <c r="AS4" s="69" t="inlineStr">
        <is>
          <t>Đã hết hạn 174 ngày rồi</t>
        </is>
      </c>
      <c r="AT4" s="62" t="n">
        <v>31</v>
      </c>
      <c r="AU4" s="62" t="n">
        <v>205</v>
      </c>
      <c r="AV4" s="62" t="n">
        <v>-174</v>
      </c>
      <c r="AW4" s="39" t="n"/>
      <c r="AX4" s="39" t="n"/>
      <c r="AY4" s="64" t="n">
        <v>200</v>
      </c>
      <c r="AZ4" s="64" t="n">
        <v>200</v>
      </c>
      <c r="BA4" s="64" t="inlineStr">
        <is>
          <t>-</t>
        </is>
      </c>
      <c r="BB4" s="70" t="inlineStr">
        <is>
          <t>-</t>
        </is>
      </c>
      <c r="BC4" s="70" t="inlineStr">
        <is>
          <t>-</t>
        </is>
      </c>
      <c r="BD4" s="70" t="n">
        <v>200</v>
      </c>
      <c r="BE4" s="37" t="n"/>
      <c r="BF4" s="58" t="inlineStr">
        <is>
          <t>-</t>
        </is>
      </c>
      <c r="BG4" s="64" t="n">
        <v>200</v>
      </c>
      <c r="BH4" s="64" t="n">
        <v>200</v>
      </c>
      <c r="BI4" s="37" t="n"/>
      <c r="BJ4" s="37" t="n"/>
      <c r="BK4" s="37" t="n"/>
      <c r="BL4" s="37" t="n"/>
      <c r="BM4" s="64" t="inlineStr">
        <is>
          <t>-</t>
        </is>
      </c>
      <c r="BN4" s="64" t="inlineStr">
        <is>
          <t>-</t>
        </is>
      </c>
      <c r="BO4" s="71" t="n">
        <v>1</v>
      </c>
      <c r="BP4" s="39" t="n"/>
      <c r="BQ4" s="39" t="n"/>
      <c r="BR4" s="72" t="n">
        <v>200</v>
      </c>
      <c r="BS4" s="39" t="n"/>
      <c r="BT4" s="73" t="n">
        <v>200</v>
      </c>
      <c r="BU4" s="58" t="inlineStr">
        <is>
          <t>CK</t>
        </is>
      </c>
      <c r="BV4" s="37" t="n"/>
      <c r="BW4" s="37" t="n"/>
      <c r="BX4" s="37" t="n"/>
      <c r="BY4" s="58" t="inlineStr">
        <is>
          <t>Thanh toán đủ</t>
        </is>
      </c>
      <c r="BZ4" s="65" t="inlineStr">
        <is>
          <t>1,0</t>
        </is>
      </c>
      <c r="CA4" s="58" t="inlineStr">
        <is>
          <t>x</t>
        </is>
      </c>
      <c r="CB4" s="58" t="inlineStr">
        <is>
          <t>x</t>
        </is>
      </c>
      <c r="CC4" s="58" t="inlineStr">
        <is>
          <t>x</t>
        </is>
      </c>
      <c r="CD4" s="58" t="inlineStr">
        <is>
          <t>Đã hết hạn</t>
        </is>
      </c>
      <c r="CE4" s="58" t="inlineStr">
        <is>
          <t>CS Linh</t>
        </is>
      </c>
      <c r="CF4" s="74" t="inlineStr">
        <is>
          <t>BL1 từ ngày 2/1/2026 đến ngày 1/2/2026</t>
        </is>
      </c>
      <c r="CG4" s="60" t="n">
        <v>1</v>
      </c>
      <c r="CH4" s="39" t="n"/>
      <c r="CI4" s="39" t="n"/>
      <c r="CJ4" s="58" t="inlineStr">
        <is>
          <t>Đã hết hạn</t>
        </is>
      </c>
      <c r="CK4" s="37" t="n"/>
      <c r="CL4" s="37" t="n"/>
      <c r="CM4" s="58" t="n">
        <v>1</v>
      </c>
      <c r="CN4" s="37" t="n"/>
      <c r="CO4" s="58" t="n">
        <v>0</v>
      </c>
      <c r="CP4" s="58" t="n">
        <v>4239</v>
      </c>
      <c r="CQ4" s="37" t="n"/>
      <c r="CR4" s="68" t="n">
        <v>46054</v>
      </c>
      <c r="CS4" s="68" t="n">
        <v>46024</v>
      </c>
      <c r="CT4" s="37" t="n"/>
      <c r="CU4" s="3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</row>
    <row r="5" ht="30.75" customHeight="1" s="75" thickBot="1">
      <c r="A5" s="57" t="n">
        <v>2</v>
      </c>
      <c r="B5" s="58" t="inlineStr">
        <is>
          <t>Unity</t>
        </is>
      </c>
      <c r="C5" s="58" t="n">
        <v>3</v>
      </c>
      <c r="D5" s="58" t="n">
        <v>1</v>
      </c>
      <c r="E5" s="58" t="n">
        <v>2026</v>
      </c>
      <c r="F5" s="59" t="n">
        <v>46082</v>
      </c>
      <c r="G5" s="60" t="n">
        <v>85</v>
      </c>
      <c r="H5" s="39" t="n"/>
      <c r="I5" s="61" t="inlineStr">
        <is>
          <t>CUS0003035</t>
        </is>
      </c>
      <c r="J5" s="62" t="inlineStr">
        <is>
          <t>Thanh Vân</t>
        </is>
      </c>
      <c r="K5" s="37" t="n"/>
      <c r="L5" s="58" t="n">
        <v>988130866</v>
      </c>
      <c r="M5" s="58" t="inlineStr">
        <is>
          <t>Voucher7N</t>
        </is>
      </c>
      <c r="N5" s="58" t="inlineStr">
        <is>
          <t>Calvin</t>
        </is>
      </c>
      <c r="O5" s="37" t="n"/>
      <c r="P5" s="63" t="inlineStr">
        <is>
          <t>x</t>
        </is>
      </c>
      <c r="Q5" s="58" t="inlineStr">
        <is>
          <t>VVIP</t>
        </is>
      </c>
      <c r="R5" s="64" t="inlineStr">
        <is>
          <t>VVIP</t>
        </is>
      </c>
      <c r="S5" s="65" t="inlineStr">
        <is>
          <t>x</t>
        </is>
      </c>
      <c r="T5" s="66" t="inlineStr">
        <is>
          <t>CS Linh</t>
        </is>
      </c>
      <c r="U5" s="64" t="n">
        <v>0</v>
      </c>
      <c r="V5" s="37" t="n"/>
      <c r="W5" s="37" t="n"/>
      <c r="X5" s="37" t="n"/>
      <c r="Y5" s="37" t="n"/>
      <c r="Z5" s="42" t="n"/>
      <c r="AA5" s="64" t="n">
        <v>0</v>
      </c>
      <c r="AB5" s="37" t="n"/>
      <c r="AC5" s="37" t="n"/>
      <c r="AD5" s="37" t="n"/>
      <c r="AE5" s="76" t="n">
        <v>7</v>
      </c>
      <c r="AF5" s="58" t="inlineStr">
        <is>
          <t>Voucher7N</t>
        </is>
      </c>
      <c r="AG5" s="37" t="n"/>
      <c r="AH5" s="37" t="n"/>
      <c r="AI5" s="67" t="inlineStr">
        <is>
          <t>x</t>
        </is>
      </c>
      <c r="AJ5" s="64" t="inlineStr">
        <is>
          <t>7 ngày</t>
        </is>
      </c>
      <c r="AK5" s="68" t="n">
        <v>46082</v>
      </c>
      <c r="AL5" s="38" t="n"/>
      <c r="AM5" s="38" t="n"/>
      <c r="AN5" s="59" t="n">
        <v>46266</v>
      </c>
      <c r="AO5" s="59" t="n">
        <v>46266</v>
      </c>
      <c r="AP5" s="38" t="n"/>
      <c r="AQ5" s="38" t="n"/>
      <c r="AR5" s="59" t="n">
        <v>46266</v>
      </c>
      <c r="AS5" s="69" t="inlineStr">
        <is>
          <t>Đã hết hạn 197 ngày rồi</t>
        </is>
      </c>
      <c r="AT5" s="62" t="n">
        <v>7</v>
      </c>
      <c r="AU5" s="62" t="n">
        <v>204</v>
      </c>
      <c r="AV5" s="62" t="n">
        <v>-197</v>
      </c>
      <c r="AW5" s="39" t="n"/>
      <c r="AX5" s="39" t="n"/>
      <c r="AY5" s="38" t="n"/>
      <c r="AZ5" s="64" t="inlineStr">
        <is>
          <t>-</t>
        </is>
      </c>
      <c r="BA5" s="64" t="inlineStr">
        <is>
          <t>-</t>
        </is>
      </c>
      <c r="BB5" s="70" t="inlineStr">
        <is>
          <t>-</t>
        </is>
      </c>
      <c r="BC5" s="70" t="inlineStr">
        <is>
          <t>-</t>
        </is>
      </c>
      <c r="BD5" s="70" t="inlineStr">
        <is>
          <t>-</t>
        </is>
      </c>
      <c r="BE5" s="37" t="n"/>
      <c r="BF5" s="58" t="inlineStr">
        <is>
          <t>-</t>
        </is>
      </c>
      <c r="BG5" s="64" t="inlineStr">
        <is>
          <t>-</t>
        </is>
      </c>
      <c r="BH5" s="64" t="inlineStr">
        <is>
          <t>-</t>
        </is>
      </c>
      <c r="BI5" s="37" t="n"/>
      <c r="BJ5" s="37" t="n"/>
      <c r="BK5" s="37" t="n"/>
      <c r="BL5" s="37" t="n"/>
      <c r="BM5" s="64" t="inlineStr">
        <is>
          <t>-</t>
        </is>
      </c>
      <c r="BN5" s="64" t="inlineStr">
        <is>
          <t>-</t>
        </is>
      </c>
      <c r="BO5" s="71" t="n">
        <v>1</v>
      </c>
      <c r="BP5" s="39" t="n"/>
      <c r="BQ5" s="39" t="n"/>
      <c r="BR5" s="39" t="n"/>
      <c r="BS5" s="39" t="n"/>
      <c r="BT5" s="73" t="inlineStr">
        <is>
          <t>-</t>
        </is>
      </c>
      <c r="BU5" s="58" t="inlineStr">
        <is>
          <t>.</t>
        </is>
      </c>
      <c r="BV5" s="37" t="n"/>
      <c r="BW5" s="37" t="n"/>
      <c r="BX5" s="37" t="n"/>
      <c r="BY5" s="58" t="inlineStr">
        <is>
          <t>x</t>
        </is>
      </c>
      <c r="BZ5" s="65" t="inlineStr">
        <is>
          <t>1,0</t>
        </is>
      </c>
      <c r="CA5" s="58" t="inlineStr">
        <is>
          <t>x</t>
        </is>
      </c>
      <c r="CB5" s="58" t="inlineStr">
        <is>
          <t>APPT</t>
        </is>
      </c>
      <c r="CC5" s="58" t="inlineStr">
        <is>
          <t>Voucher</t>
        </is>
      </c>
      <c r="CD5" s="58" t="inlineStr">
        <is>
          <t>Đã hết hạn</t>
        </is>
      </c>
      <c r="CE5" s="58" t="inlineStr">
        <is>
          <t>CS Linh</t>
        </is>
      </c>
      <c r="CF5" s="74" t="inlineStr">
        <is>
          <t>BN4228 Nguyễn Thị Huyền tặng voucher 7 ngày cho Thanh Vân</t>
        </is>
      </c>
      <c r="CG5" s="60" t="n">
        <v>1</v>
      </c>
      <c r="CH5" s="39" t="n"/>
      <c r="CI5" s="39" t="n"/>
      <c r="CJ5" s="58" t="inlineStr">
        <is>
          <t>Đã hết hạn</t>
        </is>
      </c>
      <c r="CK5" s="37" t="n"/>
      <c r="CL5" s="37" t="n"/>
      <c r="CM5" s="58" t="n">
        <v>1</v>
      </c>
      <c r="CN5" s="37" t="n"/>
      <c r="CO5" s="58" t="n">
        <v>0</v>
      </c>
      <c r="CP5" s="37" t="n"/>
      <c r="CQ5" s="37" t="n"/>
      <c r="CR5" s="68" t="n">
        <v>46082</v>
      </c>
      <c r="CS5" s="68" t="n">
        <v>46266</v>
      </c>
      <c r="CT5" s="37" t="n"/>
      <c r="CU5" s="37" t="n"/>
      <c r="CV5" s="37" t="n"/>
      <c r="CW5" s="37" t="n"/>
      <c r="CX5" s="37" t="n"/>
      <c r="CY5" s="37" t="n"/>
      <c r="CZ5" s="37" t="n"/>
      <c r="DA5" s="37" t="n"/>
      <c r="DB5" s="37" t="n"/>
      <c r="DC5" s="37" t="n"/>
      <c r="DD5" s="37" t="n"/>
    </row>
    <row r="6" ht="30.75" customHeight="1" s="75" thickBot="1">
      <c r="A6" s="57" t="n">
        <v>3</v>
      </c>
      <c r="B6" s="58" t="inlineStr">
        <is>
          <t>Unity</t>
        </is>
      </c>
      <c r="C6" s="58" t="n">
        <v>3</v>
      </c>
      <c r="D6" s="58" t="n">
        <v>1</v>
      </c>
      <c r="E6" s="58" t="n">
        <v>2026</v>
      </c>
      <c r="F6" s="59" t="n">
        <v>46082</v>
      </c>
      <c r="G6" s="60" t="n">
        <v>85</v>
      </c>
      <c r="H6" s="39" t="n"/>
      <c r="I6" s="61" t="inlineStr">
        <is>
          <t>CUS0000438</t>
        </is>
      </c>
      <c r="J6" s="62" t="inlineStr">
        <is>
          <t>Trần Thị Tâm</t>
        </is>
      </c>
      <c r="K6" s="58" t="inlineStr">
        <is>
          <t>18/04/1951</t>
        </is>
      </c>
      <c r="L6" s="58" t="n">
        <v>822483318</v>
      </c>
      <c r="M6" s="58" t="inlineStr">
        <is>
          <t>BLMP</t>
        </is>
      </c>
      <c r="N6" s="58" t="inlineStr">
        <is>
          <t>x</t>
        </is>
      </c>
      <c r="O6" s="37" t="n"/>
      <c r="P6" s="40" t="n"/>
      <c r="Q6" s="58" t="inlineStr">
        <is>
          <t>Other</t>
        </is>
      </c>
      <c r="R6" s="64" t="inlineStr">
        <is>
          <t>Other</t>
        </is>
      </c>
      <c r="S6" s="41" t="n"/>
      <c r="T6" s="66" t="inlineStr">
        <is>
          <t>CS Linh</t>
        </is>
      </c>
      <c r="U6" s="64" t="n">
        <v>0</v>
      </c>
      <c r="V6" s="37" t="n"/>
      <c r="W6" s="37" t="n"/>
      <c r="X6" s="37" t="n"/>
      <c r="Y6" s="37" t="n"/>
      <c r="Z6" s="42" t="n"/>
      <c r="AA6" s="64" t="n">
        <v>1</v>
      </c>
      <c r="AB6" s="37" t="n"/>
      <c r="AC6" s="58" t="n">
        <v>1</v>
      </c>
      <c r="AD6" s="37" t="n"/>
      <c r="AE6" s="42" t="n"/>
      <c r="AF6" s="58" t="inlineStr">
        <is>
          <t>BLMP</t>
        </is>
      </c>
      <c r="AG6" s="37" t="n"/>
      <c r="AH6" s="37" t="n"/>
      <c r="AI6" s="58" t="inlineStr">
        <is>
          <t>x</t>
        </is>
      </c>
      <c r="AJ6" s="64" t="inlineStr">
        <is>
          <t>Tháng</t>
        </is>
      </c>
      <c r="AK6" s="68" t="n">
        <v>46082</v>
      </c>
      <c r="AL6" s="38" t="n"/>
      <c r="AM6" s="38" t="n"/>
      <c r="AN6" s="59" t="n">
        <v>46055</v>
      </c>
      <c r="AO6" s="59" t="n">
        <v>46055</v>
      </c>
      <c r="AP6" s="38" t="n"/>
      <c r="AQ6" s="38" t="n"/>
      <c r="AR6" s="59" t="n">
        <v>46055</v>
      </c>
      <c r="AS6" s="69" t="inlineStr">
        <is>
          <t>Đã hết hạn 173 ngày rồi</t>
        </is>
      </c>
      <c r="AT6" s="62" t="n">
        <v>31</v>
      </c>
      <c r="AU6" s="62" t="n">
        <v>204</v>
      </c>
      <c r="AV6" s="62" t="n">
        <v>-173</v>
      </c>
      <c r="AW6" s="39" t="n"/>
      <c r="AX6" s="39" t="n"/>
      <c r="AY6" s="38" t="n"/>
      <c r="AZ6" s="64" t="inlineStr">
        <is>
          <t>-</t>
        </is>
      </c>
      <c r="BA6" s="64" t="inlineStr">
        <is>
          <t>-</t>
        </is>
      </c>
      <c r="BB6" s="70" t="inlineStr">
        <is>
          <t>-</t>
        </is>
      </c>
      <c r="BC6" s="70" t="inlineStr">
        <is>
          <t>-</t>
        </is>
      </c>
      <c r="BD6" s="70" t="inlineStr">
        <is>
          <t>-</t>
        </is>
      </c>
      <c r="BE6" s="37" t="n"/>
      <c r="BF6" s="58" t="inlineStr">
        <is>
          <t>-</t>
        </is>
      </c>
      <c r="BG6" s="64" t="inlineStr">
        <is>
          <t>-</t>
        </is>
      </c>
      <c r="BH6" s="64" t="inlineStr">
        <is>
          <t>-</t>
        </is>
      </c>
      <c r="BI6" s="37" t="n"/>
      <c r="BJ6" s="37" t="n"/>
      <c r="BK6" s="37" t="n"/>
      <c r="BL6" s="37" t="n"/>
      <c r="BM6" s="64" t="inlineStr">
        <is>
          <t>-</t>
        </is>
      </c>
      <c r="BN6" s="64" t="inlineStr">
        <is>
          <t>-</t>
        </is>
      </c>
      <c r="BO6" s="71" t="n">
        <v>1</v>
      </c>
      <c r="BP6" s="39" t="n"/>
      <c r="BQ6" s="39" t="n"/>
      <c r="BR6" s="39" t="n"/>
      <c r="BS6" s="39" t="n"/>
      <c r="BT6" s="73" t="inlineStr">
        <is>
          <t>-</t>
        </is>
      </c>
      <c r="BU6" s="58" t="inlineStr">
        <is>
          <t>.</t>
        </is>
      </c>
      <c r="BV6" s="37" t="n"/>
      <c r="BW6" s="37" t="n"/>
      <c r="BX6" s="37" t="n"/>
      <c r="BY6" s="58" t="inlineStr">
        <is>
          <t>x</t>
        </is>
      </c>
      <c r="BZ6" s="65" t="inlineStr">
        <is>
          <t>1,0</t>
        </is>
      </c>
      <c r="CA6" s="58" t="inlineStr">
        <is>
          <t>x</t>
        </is>
      </c>
      <c r="CB6" s="58" t="inlineStr">
        <is>
          <t>x</t>
        </is>
      </c>
      <c r="CC6" s="58" t="inlineStr">
        <is>
          <t>x</t>
        </is>
      </c>
      <c r="CD6" s="58" t="inlineStr">
        <is>
          <t>Đã hết hạn</t>
        </is>
      </c>
      <c r="CE6" s="58" t="inlineStr">
        <is>
          <t>CS Linh</t>
        </is>
      </c>
      <c r="CF6" s="74" t="inlineStr">
        <is>
          <t>BLMP1 từ ngày 3/1/2026 đến ngày 2/2/2026</t>
        </is>
      </c>
      <c r="CG6" s="60" t="n">
        <v>1</v>
      </c>
      <c r="CH6" s="39" t="n"/>
      <c r="CI6" s="39" t="n"/>
      <c r="CJ6" s="58" t="inlineStr">
        <is>
          <t>Đã hết hạn</t>
        </is>
      </c>
      <c r="CK6" s="37" t="n"/>
      <c r="CL6" s="37" t="n"/>
      <c r="CM6" s="58" t="n">
        <v>1</v>
      </c>
      <c r="CN6" s="37" t="n"/>
      <c r="CO6" s="58" t="n">
        <v>0</v>
      </c>
      <c r="CP6" s="37" t="n"/>
      <c r="CQ6" s="37" t="n"/>
      <c r="CR6" s="68" t="n">
        <v>46082</v>
      </c>
      <c r="CS6" s="68" t="n">
        <v>46055</v>
      </c>
      <c r="CT6" s="37" t="n"/>
      <c r="CU6" s="37" t="n"/>
      <c r="CV6" s="37" t="n"/>
      <c r="CW6" s="37" t="n"/>
      <c r="CX6" s="37" t="n"/>
      <c r="CY6" s="37" t="n"/>
      <c r="CZ6" s="37" t="n"/>
      <c r="DA6" s="37" t="n"/>
      <c r="DB6" s="37" t="n"/>
      <c r="DC6" s="37" t="n"/>
      <c r="DD6" s="37" t="n"/>
    </row>
    <row r="7" ht="30.75" customHeight="1" s="75" thickBot="1">
      <c r="A7" s="57" t="n">
        <v>4</v>
      </c>
      <c r="B7" s="58" t="inlineStr">
        <is>
          <t>Unity</t>
        </is>
      </c>
      <c r="C7" s="58" t="n">
        <v>3</v>
      </c>
      <c r="D7" s="58" t="n">
        <v>1</v>
      </c>
      <c r="E7" s="58" t="n">
        <v>2026</v>
      </c>
      <c r="F7" s="59" t="n">
        <v>46082</v>
      </c>
      <c r="G7" s="60" t="n">
        <v>85</v>
      </c>
      <c r="H7" s="39" t="n"/>
      <c r="I7" s="61" t="inlineStr">
        <is>
          <t>CUS0002648</t>
        </is>
      </c>
      <c r="J7" s="62" t="inlineStr">
        <is>
          <t>Nguyễn Bá Bảo An</t>
        </is>
      </c>
      <c r="K7" s="37" t="n"/>
      <c r="L7" s="58" t="n">
        <v>347691211</v>
      </c>
      <c r="M7" s="58" t="inlineStr">
        <is>
          <t>BLMP</t>
        </is>
      </c>
      <c r="N7" s="58" t="inlineStr">
        <is>
          <t>x</t>
        </is>
      </c>
      <c r="O7" s="37" t="n"/>
      <c r="P7" s="40" t="n"/>
      <c r="Q7" s="58" t="inlineStr">
        <is>
          <t>Other</t>
        </is>
      </c>
      <c r="R7" s="64" t="inlineStr">
        <is>
          <t>Other</t>
        </is>
      </c>
      <c r="S7" s="41" t="n"/>
      <c r="T7" s="66" t="inlineStr">
        <is>
          <t>CS Linh</t>
        </is>
      </c>
      <c r="U7" s="64" t="n">
        <v>0</v>
      </c>
      <c r="V7" s="37" t="n"/>
      <c r="W7" s="37" t="n"/>
      <c r="X7" s="37" t="n"/>
      <c r="Y7" s="37" t="n"/>
      <c r="Z7" s="42" t="n"/>
      <c r="AA7" s="64" t="n">
        <v>1</v>
      </c>
      <c r="AB7" s="37" t="n"/>
      <c r="AC7" s="58" t="n">
        <v>1</v>
      </c>
      <c r="AD7" s="37" t="n"/>
      <c r="AE7" s="42" t="n"/>
      <c r="AF7" s="58" t="inlineStr">
        <is>
          <t>BLMP</t>
        </is>
      </c>
      <c r="AG7" s="37" t="n"/>
      <c r="AH7" s="37" t="n"/>
      <c r="AI7" s="58" t="inlineStr">
        <is>
          <t>x</t>
        </is>
      </c>
      <c r="AJ7" s="64" t="inlineStr">
        <is>
          <t>Tháng</t>
        </is>
      </c>
      <c r="AK7" s="68" t="n">
        <v>46082</v>
      </c>
      <c r="AL7" s="38" t="n"/>
      <c r="AM7" s="38" t="n"/>
      <c r="AN7" s="59" t="n">
        <v>46055</v>
      </c>
      <c r="AO7" s="59" t="n">
        <v>46055</v>
      </c>
      <c r="AP7" s="38" t="n"/>
      <c r="AQ7" s="38" t="n"/>
      <c r="AR7" s="59" t="n">
        <v>46055</v>
      </c>
      <c r="AS7" s="69" t="inlineStr">
        <is>
          <t>Đã hết hạn 173 ngày rồi</t>
        </is>
      </c>
      <c r="AT7" s="62" t="n">
        <v>31</v>
      </c>
      <c r="AU7" s="62" t="n">
        <v>204</v>
      </c>
      <c r="AV7" s="62" t="n">
        <v>-173</v>
      </c>
      <c r="AW7" s="39" t="n"/>
      <c r="AX7" s="39" t="n"/>
      <c r="AY7" s="38" t="n"/>
      <c r="AZ7" s="64" t="inlineStr">
        <is>
          <t>-</t>
        </is>
      </c>
      <c r="BA7" s="64" t="inlineStr">
        <is>
          <t>-</t>
        </is>
      </c>
      <c r="BB7" s="70" t="inlineStr">
        <is>
          <t>-</t>
        </is>
      </c>
      <c r="BC7" s="70" t="inlineStr">
        <is>
          <t>-</t>
        </is>
      </c>
      <c r="BD7" s="70" t="inlineStr">
        <is>
          <t>-</t>
        </is>
      </c>
      <c r="BE7" s="37" t="n"/>
      <c r="BF7" s="58" t="inlineStr">
        <is>
          <t>-</t>
        </is>
      </c>
      <c r="BG7" s="64" t="inlineStr">
        <is>
          <t>-</t>
        </is>
      </c>
      <c r="BH7" s="64" t="inlineStr">
        <is>
          <t>-</t>
        </is>
      </c>
      <c r="BI7" s="37" t="n"/>
      <c r="BJ7" s="37" t="n"/>
      <c r="BK7" s="37" t="n"/>
      <c r="BL7" s="37" t="n"/>
      <c r="BM7" s="64" t="inlineStr">
        <is>
          <t>-</t>
        </is>
      </c>
      <c r="BN7" s="64" t="inlineStr">
        <is>
          <t>-</t>
        </is>
      </c>
      <c r="BO7" s="71" t="n">
        <v>1</v>
      </c>
      <c r="BP7" s="39" t="n"/>
      <c r="BQ7" s="39" t="n"/>
      <c r="BR7" s="39" t="n"/>
      <c r="BS7" s="39" t="n"/>
      <c r="BT7" s="73" t="inlineStr">
        <is>
          <t>-</t>
        </is>
      </c>
      <c r="BU7" s="58" t="inlineStr">
        <is>
          <t>.</t>
        </is>
      </c>
      <c r="BV7" s="37" t="n"/>
      <c r="BW7" s="37" t="n"/>
      <c r="BX7" s="37" t="n"/>
      <c r="BY7" s="58" t="inlineStr">
        <is>
          <t>x</t>
        </is>
      </c>
      <c r="BZ7" s="65" t="inlineStr">
        <is>
          <t>1,0</t>
        </is>
      </c>
      <c r="CA7" s="58" t="inlineStr">
        <is>
          <t>x</t>
        </is>
      </c>
      <c r="CB7" s="58" t="inlineStr">
        <is>
          <t>x</t>
        </is>
      </c>
      <c r="CC7" s="58" t="inlineStr">
        <is>
          <t>x</t>
        </is>
      </c>
      <c r="CD7" s="58" t="inlineStr">
        <is>
          <t>Đã hết hạn</t>
        </is>
      </c>
      <c r="CE7" s="58" t="inlineStr">
        <is>
          <t>CS Linh</t>
        </is>
      </c>
      <c r="CF7" s="74" t="inlineStr">
        <is>
          <t>BLMP1 từ ngày 3/1/2026 đến ngày 2/2/2026</t>
        </is>
      </c>
      <c r="CG7" s="60" t="n">
        <v>1</v>
      </c>
      <c r="CH7" s="39" t="n"/>
      <c r="CI7" s="39" t="n"/>
      <c r="CJ7" s="58" t="inlineStr">
        <is>
          <t>Đã hết hạn</t>
        </is>
      </c>
      <c r="CK7" s="37" t="n"/>
      <c r="CL7" s="37" t="n"/>
      <c r="CM7" s="58" t="n">
        <v>1</v>
      </c>
      <c r="CN7" s="37" t="n"/>
      <c r="CO7" s="58" t="n">
        <v>0</v>
      </c>
      <c r="CP7" s="37" t="n"/>
      <c r="CQ7" s="37" t="n"/>
      <c r="CR7" s="68" t="n">
        <v>46082</v>
      </c>
      <c r="CS7" s="68" t="n">
        <v>46055</v>
      </c>
      <c r="CT7" s="37" t="n"/>
      <c r="CU7" s="37" t="n"/>
      <c r="CV7" s="37" t="n"/>
      <c r="CW7" s="37" t="n"/>
      <c r="CX7" s="37" t="n"/>
      <c r="CY7" s="37" t="n"/>
      <c r="CZ7" s="37" t="n"/>
      <c r="DA7" s="37" t="n"/>
      <c r="DB7" s="37" t="n"/>
      <c r="DC7" s="37" t="n"/>
      <c r="DD7" s="37" t="n"/>
    </row>
    <row r="8" ht="30.75" customHeight="1" s="75" thickBot="1">
      <c r="A8" s="57" t="n">
        <v>5</v>
      </c>
      <c r="B8" s="58" t="inlineStr">
        <is>
          <t>Unity</t>
        </is>
      </c>
      <c r="C8" s="58" t="n">
        <v>3</v>
      </c>
      <c r="D8" s="58" t="n">
        <v>1</v>
      </c>
      <c r="E8" s="58" t="n">
        <v>2026</v>
      </c>
      <c r="F8" s="59" t="n">
        <v>46082</v>
      </c>
      <c r="G8" s="60" t="n">
        <v>85</v>
      </c>
      <c r="H8" s="39" t="n"/>
      <c r="I8" s="61" t="inlineStr">
        <is>
          <t>CUS0002647</t>
        </is>
      </c>
      <c r="J8" s="62" t="inlineStr">
        <is>
          <t>Nguyễn Tú Uyên</t>
        </is>
      </c>
      <c r="K8" s="37" t="n"/>
      <c r="L8" s="58" t="n">
        <v>347691211</v>
      </c>
      <c r="M8" s="58" t="inlineStr">
        <is>
          <t>BLMP</t>
        </is>
      </c>
      <c r="N8" s="58" t="inlineStr">
        <is>
          <t>x</t>
        </is>
      </c>
      <c r="O8" s="37" t="n"/>
      <c r="P8" s="40" t="n"/>
      <c r="Q8" s="58" t="inlineStr">
        <is>
          <t>Other</t>
        </is>
      </c>
      <c r="R8" s="64" t="inlineStr">
        <is>
          <t>Other</t>
        </is>
      </c>
      <c r="S8" s="41" t="n"/>
      <c r="T8" s="66" t="inlineStr">
        <is>
          <t>CS Linh</t>
        </is>
      </c>
      <c r="U8" s="64" t="n">
        <v>0</v>
      </c>
      <c r="V8" s="37" t="n"/>
      <c r="W8" s="37" t="n"/>
      <c r="X8" s="37" t="n"/>
      <c r="Y8" s="37" t="n"/>
      <c r="Z8" s="42" t="n"/>
      <c r="AA8" s="64" t="n">
        <v>1</v>
      </c>
      <c r="AB8" s="37" t="n"/>
      <c r="AC8" s="58" t="n">
        <v>1</v>
      </c>
      <c r="AD8" s="37" t="n"/>
      <c r="AE8" s="42" t="n"/>
      <c r="AF8" s="58" t="inlineStr">
        <is>
          <t>BLMP</t>
        </is>
      </c>
      <c r="AG8" s="37" t="n"/>
      <c r="AH8" s="37" t="n"/>
      <c r="AI8" s="58" t="inlineStr">
        <is>
          <t>x</t>
        </is>
      </c>
      <c r="AJ8" s="64" t="inlineStr">
        <is>
          <t>Tháng</t>
        </is>
      </c>
      <c r="AK8" s="68" t="n">
        <v>46082</v>
      </c>
      <c r="AL8" s="38" t="n"/>
      <c r="AM8" s="38" t="n"/>
      <c r="AN8" s="59" t="n">
        <v>46055</v>
      </c>
      <c r="AO8" s="59" t="n">
        <v>46055</v>
      </c>
      <c r="AP8" s="38" t="n"/>
      <c r="AQ8" s="38" t="n"/>
      <c r="AR8" s="59" t="n">
        <v>46055</v>
      </c>
      <c r="AS8" s="69" t="inlineStr">
        <is>
          <t>Đã hết hạn 173 ngày rồi</t>
        </is>
      </c>
      <c r="AT8" s="62" t="n">
        <v>31</v>
      </c>
      <c r="AU8" s="62" t="n">
        <v>204</v>
      </c>
      <c r="AV8" s="62" t="n">
        <v>-173</v>
      </c>
      <c r="AW8" s="39" t="n"/>
      <c r="AX8" s="39" t="n"/>
      <c r="AY8" s="38" t="n"/>
      <c r="AZ8" s="64" t="inlineStr">
        <is>
          <t>-</t>
        </is>
      </c>
      <c r="BA8" s="64" t="inlineStr">
        <is>
          <t>-</t>
        </is>
      </c>
      <c r="BB8" s="70" t="inlineStr">
        <is>
          <t>-</t>
        </is>
      </c>
      <c r="BC8" s="70" t="inlineStr">
        <is>
          <t>-</t>
        </is>
      </c>
      <c r="BD8" s="70" t="inlineStr">
        <is>
          <t>-</t>
        </is>
      </c>
      <c r="BE8" s="37" t="n"/>
      <c r="BF8" s="58" t="inlineStr">
        <is>
          <t>-</t>
        </is>
      </c>
      <c r="BG8" s="64" t="inlineStr">
        <is>
          <t>-</t>
        </is>
      </c>
      <c r="BH8" s="64" t="inlineStr">
        <is>
          <t>-</t>
        </is>
      </c>
      <c r="BI8" s="37" t="n"/>
      <c r="BJ8" s="37" t="n"/>
      <c r="BK8" s="37" t="n"/>
      <c r="BL8" s="37" t="n"/>
      <c r="BM8" s="64" t="inlineStr">
        <is>
          <t>-</t>
        </is>
      </c>
      <c r="BN8" s="64" t="inlineStr">
        <is>
          <t>-</t>
        </is>
      </c>
      <c r="BO8" s="71" t="n">
        <v>1</v>
      </c>
      <c r="BP8" s="39" t="n"/>
      <c r="BQ8" s="39" t="n"/>
      <c r="BR8" s="39" t="n"/>
      <c r="BS8" s="39" t="n"/>
      <c r="BT8" s="73" t="inlineStr">
        <is>
          <t>-</t>
        </is>
      </c>
      <c r="BU8" s="58" t="inlineStr">
        <is>
          <t>.</t>
        </is>
      </c>
      <c r="BV8" s="37" t="n"/>
      <c r="BW8" s="37" t="n"/>
      <c r="BX8" s="37" t="n"/>
      <c r="BY8" s="58" t="inlineStr">
        <is>
          <t>x</t>
        </is>
      </c>
      <c r="BZ8" s="65" t="inlineStr">
        <is>
          <t>1,0</t>
        </is>
      </c>
      <c r="CA8" s="58" t="inlineStr">
        <is>
          <t>x</t>
        </is>
      </c>
      <c r="CB8" s="58" t="inlineStr">
        <is>
          <t>x</t>
        </is>
      </c>
      <c r="CC8" s="58" t="inlineStr">
        <is>
          <t>x</t>
        </is>
      </c>
      <c r="CD8" s="58" t="inlineStr">
        <is>
          <t>Đã hết hạn</t>
        </is>
      </c>
      <c r="CE8" s="58" t="inlineStr">
        <is>
          <t>CS Linh</t>
        </is>
      </c>
      <c r="CF8" s="74" t="inlineStr">
        <is>
          <t>BLMP1 từ ngày 3/1/2026 đến ngày 2/2/2026</t>
        </is>
      </c>
      <c r="CG8" s="60" t="n">
        <v>1</v>
      </c>
      <c r="CH8" s="39" t="n"/>
      <c r="CI8" s="39" t="n"/>
      <c r="CJ8" s="58" t="inlineStr">
        <is>
          <t>Đã hết hạn</t>
        </is>
      </c>
      <c r="CK8" s="37" t="n"/>
      <c r="CL8" s="37" t="n"/>
      <c r="CM8" s="58" t="n">
        <v>1</v>
      </c>
      <c r="CN8" s="37" t="n"/>
      <c r="CO8" s="58" t="n">
        <v>0</v>
      </c>
      <c r="CP8" s="37" t="n"/>
      <c r="CQ8" s="37" t="n"/>
      <c r="CR8" s="68" t="n">
        <v>46082</v>
      </c>
      <c r="CS8" s="68" t="n">
        <v>46055</v>
      </c>
      <c r="CT8" s="37" t="n"/>
      <c r="CU8" s="37" t="n"/>
      <c r="CV8" s="37" t="n"/>
      <c r="CW8" s="37" t="n"/>
      <c r="CX8" s="37" t="n"/>
      <c r="CY8" s="37" t="n"/>
      <c r="CZ8" s="37" t="n"/>
      <c r="DA8" s="37" t="n"/>
      <c r="DB8" s="37" t="n"/>
      <c r="DC8" s="37" t="n"/>
      <c r="DD8" s="37" t="n"/>
    </row>
    <row r="9" ht="30.75" customHeight="1" s="75" thickBot="1">
      <c r="A9" s="57" t="n">
        <v>6</v>
      </c>
      <c r="B9" s="58" t="inlineStr">
        <is>
          <t>Unity</t>
        </is>
      </c>
      <c r="C9" s="58" t="n">
        <v>4</v>
      </c>
      <c r="D9" s="58" t="n">
        <v>1</v>
      </c>
      <c r="E9" s="58" t="n">
        <v>2026</v>
      </c>
      <c r="F9" s="59" t="n">
        <v>46113</v>
      </c>
      <c r="G9" s="60" t="n">
        <v>85</v>
      </c>
      <c r="H9" s="60" t="n">
        <v>4240</v>
      </c>
      <c r="I9" s="60" t="inlineStr">
        <is>
          <t>CUS0001025</t>
        </is>
      </c>
      <c r="J9" s="62" t="inlineStr">
        <is>
          <t>Nguyễn Thị Nguyên</t>
        </is>
      </c>
      <c r="K9" s="37" t="n"/>
      <c r="L9" s="58" t="n">
        <v>334481652</v>
      </c>
      <c r="M9" s="58" t="inlineStr">
        <is>
          <t>BL</t>
        </is>
      </c>
      <c r="N9" s="58" t="inlineStr">
        <is>
          <t>Other</t>
        </is>
      </c>
      <c r="O9" s="58" t="inlineStr">
        <is>
          <t>x</t>
        </is>
      </c>
      <c r="P9" s="63" t="inlineStr">
        <is>
          <t>xxx</t>
        </is>
      </c>
      <c r="Q9" s="58" t="inlineStr">
        <is>
          <t>Other</t>
        </is>
      </c>
      <c r="R9" s="64" t="inlineStr">
        <is>
          <t>Other</t>
        </is>
      </c>
      <c r="S9" s="65" t="inlineStr">
        <is>
          <t>xxx</t>
        </is>
      </c>
      <c r="T9" s="66" t="inlineStr">
        <is>
          <t>Ngọc</t>
        </is>
      </c>
      <c r="U9" s="64" t="n">
        <v>0</v>
      </c>
      <c r="V9" s="37" t="n"/>
      <c r="W9" s="37" t="n"/>
      <c r="X9" s="37" t="n"/>
      <c r="Y9" s="37" t="n"/>
      <c r="Z9" s="42" t="n"/>
      <c r="AA9" s="64" t="n">
        <v>1</v>
      </c>
      <c r="AB9" s="37" t="n"/>
      <c r="AC9" s="58" t="n">
        <v>1</v>
      </c>
      <c r="AD9" s="37" t="n"/>
      <c r="AE9" s="42" t="n"/>
      <c r="AF9" s="58" t="inlineStr">
        <is>
          <t>BL</t>
        </is>
      </c>
      <c r="AG9" s="37" t="n"/>
      <c r="AH9" s="37" t="n"/>
      <c r="AI9" s="58" t="inlineStr">
        <is>
          <t>x</t>
        </is>
      </c>
      <c r="AJ9" s="64" t="inlineStr">
        <is>
          <t>Tháng</t>
        </is>
      </c>
      <c r="AK9" s="68" t="n">
        <v>46113</v>
      </c>
      <c r="AL9" s="38" t="n"/>
      <c r="AM9" s="38" t="n"/>
      <c r="AN9" s="59" t="n">
        <v>46083</v>
      </c>
      <c r="AO9" s="59" t="n">
        <v>46083</v>
      </c>
      <c r="AP9" s="38" t="n"/>
      <c r="AQ9" s="38" t="n"/>
      <c r="AR9" s="59" t="n">
        <v>46083</v>
      </c>
      <c r="AS9" s="69" t="inlineStr">
        <is>
          <t>Đã hết hạn 172 ngày rồi</t>
        </is>
      </c>
      <c r="AT9" s="62" t="n">
        <v>31</v>
      </c>
      <c r="AU9" s="62" t="n">
        <v>203</v>
      </c>
      <c r="AV9" s="62" t="n">
        <v>-172</v>
      </c>
      <c r="AW9" s="39" t="n"/>
      <c r="AX9" s="39" t="n"/>
      <c r="AY9" s="64" t="n">
        <v>200</v>
      </c>
      <c r="AZ9" s="64" t="n">
        <v>200</v>
      </c>
      <c r="BA9" s="64" t="inlineStr">
        <is>
          <t>-</t>
        </is>
      </c>
      <c r="BB9" s="70" t="inlineStr">
        <is>
          <t>-</t>
        </is>
      </c>
      <c r="BC9" s="70" t="inlineStr">
        <is>
          <t>-</t>
        </is>
      </c>
      <c r="BD9" s="70" t="n">
        <v>200</v>
      </c>
      <c r="BE9" s="37" t="n"/>
      <c r="BF9" s="58" t="inlineStr">
        <is>
          <t>-</t>
        </is>
      </c>
      <c r="BG9" s="64" t="n">
        <v>200</v>
      </c>
      <c r="BH9" s="64" t="n">
        <v>200</v>
      </c>
      <c r="BI9" s="37" t="n"/>
      <c r="BJ9" s="37" t="n"/>
      <c r="BK9" s="37" t="n"/>
      <c r="BL9" s="37" t="n"/>
      <c r="BM9" s="64" t="inlineStr">
        <is>
          <t>-</t>
        </is>
      </c>
      <c r="BN9" s="64" t="inlineStr">
        <is>
          <t>-</t>
        </is>
      </c>
      <c r="BO9" s="71" t="n">
        <v>1</v>
      </c>
      <c r="BP9" s="39" t="n"/>
      <c r="BQ9" s="39" t="n"/>
      <c r="BR9" s="72" t="n">
        <v>200</v>
      </c>
      <c r="BS9" s="39" t="n"/>
      <c r="BT9" s="73" t="n">
        <v>200</v>
      </c>
      <c r="BU9" s="58" t="inlineStr">
        <is>
          <t>CK</t>
        </is>
      </c>
      <c r="BV9" s="37" t="n"/>
      <c r="BW9" s="37" t="n"/>
      <c r="BX9" s="37" t="n"/>
      <c r="BY9" s="58" t="inlineStr">
        <is>
          <t>Thanh toán đủ</t>
        </is>
      </c>
      <c r="BZ9" s="65" t="inlineStr">
        <is>
          <t>1,0</t>
        </is>
      </c>
      <c r="CA9" s="58" t="inlineStr">
        <is>
          <t>x</t>
        </is>
      </c>
      <c r="CB9" s="58" t="inlineStr">
        <is>
          <t>x</t>
        </is>
      </c>
      <c r="CC9" s="58" t="inlineStr">
        <is>
          <t>x</t>
        </is>
      </c>
      <c r="CD9" s="58" t="inlineStr">
        <is>
          <t>Đã hết hạn</t>
        </is>
      </c>
      <c r="CE9" s="58" t="inlineStr">
        <is>
          <t>Ngọc</t>
        </is>
      </c>
      <c r="CF9" s="74" t="inlineStr">
        <is>
          <t>BL1 từ ngày 4/1/2026 đến ngày 3/2/2026</t>
        </is>
      </c>
      <c r="CG9" s="60" t="n">
        <v>1</v>
      </c>
      <c r="CH9" s="39" t="n"/>
      <c r="CI9" s="39" t="n"/>
      <c r="CJ9" s="58" t="inlineStr">
        <is>
          <t>Đã hết hạn</t>
        </is>
      </c>
      <c r="CK9" s="37" t="n"/>
      <c r="CL9" s="37" t="n"/>
      <c r="CM9" s="58" t="n">
        <v>1</v>
      </c>
      <c r="CN9" s="37" t="n"/>
      <c r="CO9" s="58" t="n">
        <v>0</v>
      </c>
      <c r="CP9" s="58" t="n">
        <v>4240</v>
      </c>
      <c r="CQ9" s="37" t="n"/>
      <c r="CR9" s="68" t="n">
        <v>46113</v>
      </c>
      <c r="CS9" s="68" t="n">
        <v>46083</v>
      </c>
      <c r="CT9" s="37" t="n"/>
      <c r="CU9" s="37" t="n"/>
      <c r="CV9" s="37" t="n"/>
      <c r="CW9" s="37" t="n"/>
      <c r="CX9" s="37" t="n"/>
      <c r="CY9" s="37" t="n"/>
      <c r="CZ9" s="37" t="n"/>
      <c r="DA9" s="37" t="n"/>
      <c r="DB9" s="37" t="n"/>
      <c r="DC9" s="37" t="n"/>
      <c r="DD9" s="37" t="n"/>
    </row>
    <row r="10" ht="45.75" customHeight="1" s="75" thickBot="1">
      <c r="A10" s="57" t="n">
        <v>7</v>
      </c>
      <c r="B10" s="58" t="inlineStr">
        <is>
          <t>Unity</t>
        </is>
      </c>
      <c r="C10" s="58" t="n">
        <v>4</v>
      </c>
      <c r="D10" s="58" t="n">
        <v>1</v>
      </c>
      <c r="E10" s="58" t="n">
        <v>2026</v>
      </c>
      <c r="F10" s="59" t="n">
        <v>46113</v>
      </c>
      <c r="G10" s="60" t="n">
        <v>85</v>
      </c>
      <c r="H10" s="60" t="n">
        <v>4241</v>
      </c>
      <c r="I10" s="61" t="inlineStr">
        <is>
          <t>CUS0001787</t>
        </is>
      </c>
      <c r="J10" s="62" t="inlineStr">
        <is>
          <t>Nguyễn Thị Thu</t>
        </is>
      </c>
      <c r="K10" s="37" t="n"/>
      <c r="L10" s="58" t="n">
        <v>367485507</v>
      </c>
      <c r="M10" s="58" t="inlineStr">
        <is>
          <t>BL</t>
        </is>
      </c>
      <c r="N10" s="58" t="inlineStr">
        <is>
          <t>Other</t>
        </is>
      </c>
      <c r="O10" s="58" t="inlineStr">
        <is>
          <t>x</t>
        </is>
      </c>
      <c r="P10" s="63" t="inlineStr">
        <is>
          <t>xxx</t>
        </is>
      </c>
      <c r="Q10" s="58" t="inlineStr">
        <is>
          <t>Other</t>
        </is>
      </c>
      <c r="R10" s="64" t="inlineStr">
        <is>
          <t>Other</t>
        </is>
      </c>
      <c r="S10" s="65" t="inlineStr">
        <is>
          <t>xxx</t>
        </is>
      </c>
      <c r="T10" s="66" t="inlineStr">
        <is>
          <t>CS Linh</t>
        </is>
      </c>
      <c r="U10" s="64" t="n">
        <v>0</v>
      </c>
      <c r="V10" s="37" t="n"/>
      <c r="W10" s="37" t="n"/>
      <c r="X10" s="37" t="n"/>
      <c r="Y10" s="37" t="n"/>
      <c r="Z10" s="42" t="n"/>
      <c r="AA10" s="64" t="n">
        <v>1</v>
      </c>
      <c r="AB10" s="37" t="n"/>
      <c r="AC10" s="58" t="n">
        <v>1</v>
      </c>
      <c r="AD10" s="37" t="n"/>
      <c r="AE10" s="42" t="n"/>
      <c r="AF10" s="58" t="inlineStr">
        <is>
          <t>BL</t>
        </is>
      </c>
      <c r="AG10" s="37" t="n"/>
      <c r="AH10" s="37" t="n"/>
      <c r="AI10" s="58" t="inlineStr">
        <is>
          <t>x</t>
        </is>
      </c>
      <c r="AJ10" s="64" t="inlineStr">
        <is>
          <t>Tháng</t>
        </is>
      </c>
      <c r="AK10" s="68" t="n">
        <v>46113</v>
      </c>
      <c r="AL10" s="38" t="n"/>
      <c r="AM10" s="38" t="n"/>
      <c r="AN10" s="59" t="n">
        <v>46083</v>
      </c>
      <c r="AO10" s="59" t="n">
        <v>46083</v>
      </c>
      <c r="AP10" s="38" t="n"/>
      <c r="AQ10" s="38" t="n"/>
      <c r="AR10" s="59" t="n">
        <v>46083</v>
      </c>
      <c r="AS10" s="69" t="inlineStr">
        <is>
          <t>Đã hết hạn 172 ngày rồi</t>
        </is>
      </c>
      <c r="AT10" s="62" t="n">
        <v>31</v>
      </c>
      <c r="AU10" s="62" t="n">
        <v>203</v>
      </c>
      <c r="AV10" s="62" t="n">
        <v>-172</v>
      </c>
      <c r="AW10" s="39" t="n"/>
      <c r="AX10" s="39" t="n"/>
      <c r="AY10" s="64" t="n">
        <v>200</v>
      </c>
      <c r="AZ10" s="64" t="n">
        <v>200</v>
      </c>
      <c r="BA10" s="64" t="inlineStr">
        <is>
          <t>-</t>
        </is>
      </c>
      <c r="BB10" s="70" t="inlineStr">
        <is>
          <t>-</t>
        </is>
      </c>
      <c r="BC10" s="70" t="inlineStr">
        <is>
          <t>-</t>
        </is>
      </c>
      <c r="BD10" s="70" t="n">
        <v>200</v>
      </c>
      <c r="BE10" s="37" t="n"/>
      <c r="BF10" s="58" t="inlineStr">
        <is>
          <t>-</t>
        </is>
      </c>
      <c r="BG10" s="64" t="n">
        <v>200</v>
      </c>
      <c r="BH10" s="64" t="n">
        <v>200</v>
      </c>
      <c r="BI10" s="37" t="n"/>
      <c r="BJ10" s="37" t="n"/>
      <c r="BK10" s="37" t="n"/>
      <c r="BL10" s="37" t="n"/>
      <c r="BM10" s="64" t="inlineStr">
        <is>
          <t>-</t>
        </is>
      </c>
      <c r="BN10" s="64" t="inlineStr">
        <is>
          <t>-</t>
        </is>
      </c>
      <c r="BO10" s="71" t="n">
        <v>1</v>
      </c>
      <c r="BP10" s="39" t="n"/>
      <c r="BQ10" s="39" t="n"/>
      <c r="BR10" s="72" t="n">
        <v>200</v>
      </c>
      <c r="BS10" s="39" t="n"/>
      <c r="BT10" s="73" t="n">
        <v>200</v>
      </c>
      <c r="BU10" s="58" t="inlineStr">
        <is>
          <t>CK</t>
        </is>
      </c>
      <c r="BV10" s="37" t="n"/>
      <c r="BW10" s="37" t="n"/>
      <c r="BX10" s="37" t="n"/>
      <c r="BY10" s="58" t="inlineStr">
        <is>
          <t>Thanh toán đủ</t>
        </is>
      </c>
      <c r="BZ10" s="65" t="inlineStr">
        <is>
          <t>1,0</t>
        </is>
      </c>
      <c r="CA10" s="58" t="inlineStr">
        <is>
          <t>x</t>
        </is>
      </c>
      <c r="CB10" s="58" t="inlineStr">
        <is>
          <t>x</t>
        </is>
      </c>
      <c r="CC10" s="58" t="inlineStr">
        <is>
          <t>x</t>
        </is>
      </c>
      <c r="CD10" s="58" t="inlineStr">
        <is>
          <t>Đã hết hạn</t>
        </is>
      </c>
      <c r="CE10" s="58" t="inlineStr">
        <is>
          <t>CS Linh</t>
        </is>
      </c>
      <c r="CF10" s="74" t="inlineStr">
        <is>
          <t>CK ngày 18/12/2025 số tiền: 200,000đ; BL1 từ ngày 4/1/2026 đến ngày 3/2/2026</t>
        </is>
      </c>
      <c r="CG10" s="60" t="n">
        <v>1</v>
      </c>
      <c r="CH10" s="39" t="n"/>
      <c r="CI10" s="39" t="n"/>
      <c r="CJ10" s="58" t="inlineStr">
        <is>
          <t>Đã hết hạn</t>
        </is>
      </c>
      <c r="CK10" s="37" t="n"/>
      <c r="CL10" s="37" t="n"/>
      <c r="CM10" s="58" t="n">
        <v>1</v>
      </c>
      <c r="CN10" s="37" t="n"/>
      <c r="CO10" s="58" t="n">
        <v>0</v>
      </c>
      <c r="CP10" s="58" t="n">
        <v>4241</v>
      </c>
      <c r="CQ10" s="37" t="n"/>
      <c r="CR10" s="68" t="n">
        <v>46113</v>
      </c>
      <c r="CS10" s="68" t="n">
        <v>46083</v>
      </c>
      <c r="CT10" s="37" t="n"/>
      <c r="CU10" s="37" t="n"/>
      <c r="CV10" s="37" t="n"/>
      <c r="CW10" s="37" t="n"/>
      <c r="CX10" s="37" t="n"/>
      <c r="CY10" s="37" t="n"/>
      <c r="CZ10" s="37" t="n"/>
      <c r="DA10" s="37" t="n"/>
      <c r="DB10" s="37" t="n"/>
      <c r="DC10" s="37" t="n"/>
      <c r="DD10" s="37" t="n"/>
    </row>
    <row r="11" ht="30.75" customHeight="1" s="75" thickBot="1">
      <c r="A11" s="57" t="n">
        <v>8</v>
      </c>
      <c r="B11" s="58" t="inlineStr">
        <is>
          <t>Unity</t>
        </is>
      </c>
      <c r="C11" s="58" t="n">
        <v>4</v>
      </c>
      <c r="D11" s="58" t="n">
        <v>1</v>
      </c>
      <c r="E11" s="58" t="n">
        <v>2026</v>
      </c>
      <c r="F11" s="59" t="n">
        <v>46113</v>
      </c>
      <c r="G11" s="60" t="n">
        <v>85</v>
      </c>
      <c r="H11" s="60" t="n">
        <v>4242</v>
      </c>
      <c r="I11" s="61" t="inlineStr">
        <is>
          <t>CUS0001525</t>
        </is>
      </c>
      <c r="J11" s="62" t="inlineStr">
        <is>
          <t>Nguyễn Thị Thu Nga</t>
        </is>
      </c>
      <c r="K11" s="37" t="n"/>
      <c r="L11" s="58" t="n">
        <v>977792678</v>
      </c>
      <c r="M11" s="58" t="inlineStr">
        <is>
          <t>BL</t>
        </is>
      </c>
      <c r="N11" s="58" t="inlineStr">
        <is>
          <t>Other</t>
        </is>
      </c>
      <c r="O11" s="58" t="inlineStr">
        <is>
          <t>x</t>
        </is>
      </c>
      <c r="P11" s="63" t="inlineStr">
        <is>
          <t>xxx</t>
        </is>
      </c>
      <c r="Q11" s="58" t="inlineStr">
        <is>
          <t>Other</t>
        </is>
      </c>
      <c r="R11" s="64" t="inlineStr">
        <is>
          <t>Other</t>
        </is>
      </c>
      <c r="S11" s="65" t="inlineStr">
        <is>
          <t>xxx</t>
        </is>
      </c>
      <c r="T11" s="66" t="inlineStr">
        <is>
          <t>x</t>
        </is>
      </c>
      <c r="U11" s="64" t="n">
        <v>0</v>
      </c>
      <c r="V11" s="37" t="n"/>
      <c r="W11" s="37" t="n"/>
      <c r="X11" s="37" t="n"/>
      <c r="Y11" s="37" t="n"/>
      <c r="Z11" s="42" t="n"/>
      <c r="AA11" s="64" t="n">
        <v>2</v>
      </c>
      <c r="AB11" s="37" t="n"/>
      <c r="AC11" s="58" t="n">
        <v>2</v>
      </c>
      <c r="AD11" s="37" t="n"/>
      <c r="AE11" s="42" t="n"/>
      <c r="AF11" s="58" t="inlineStr">
        <is>
          <t>BL</t>
        </is>
      </c>
      <c r="AG11" s="37" t="n"/>
      <c r="AH11" s="37" t="n"/>
      <c r="AI11" s="58" t="inlineStr">
        <is>
          <t>x</t>
        </is>
      </c>
      <c r="AJ11" s="64" t="inlineStr">
        <is>
          <t>Tháng</t>
        </is>
      </c>
      <c r="AK11" s="68" t="n">
        <v>46113</v>
      </c>
      <c r="AL11" s="38" t="n"/>
      <c r="AM11" s="38" t="n"/>
      <c r="AN11" s="59" t="n">
        <v>46084</v>
      </c>
      <c r="AO11" s="59" t="n">
        <v>46084</v>
      </c>
      <c r="AP11" s="38" t="n"/>
      <c r="AQ11" s="38" t="n"/>
      <c r="AR11" s="59" t="n">
        <v>46084</v>
      </c>
      <c r="AS11" s="69" t="inlineStr">
        <is>
          <t>Đã hết hạn 144 ngày rồi</t>
        </is>
      </c>
      <c r="AT11" s="62" t="n">
        <v>59</v>
      </c>
      <c r="AU11" s="62" t="n">
        <v>203</v>
      </c>
      <c r="AV11" s="62" t="n">
        <v>-144</v>
      </c>
      <c r="AW11" s="39" t="n"/>
      <c r="AX11" s="39" t="n"/>
      <c r="AY11" s="64" t="n">
        <v>200</v>
      </c>
      <c r="AZ11" s="64" t="n">
        <v>400</v>
      </c>
      <c r="BA11" s="64" t="inlineStr">
        <is>
          <t>-</t>
        </is>
      </c>
      <c r="BB11" s="70" t="inlineStr">
        <is>
          <t>-</t>
        </is>
      </c>
      <c r="BC11" s="70" t="inlineStr">
        <is>
          <t>-</t>
        </is>
      </c>
      <c r="BD11" s="70" t="n">
        <v>400</v>
      </c>
      <c r="BE11" s="37" t="n"/>
      <c r="BF11" s="58" t="inlineStr">
        <is>
          <t>-</t>
        </is>
      </c>
      <c r="BG11" s="64" t="n">
        <v>400</v>
      </c>
      <c r="BH11" s="64" t="n">
        <v>400</v>
      </c>
      <c r="BI11" s="37" t="n"/>
      <c r="BJ11" s="37" t="n"/>
      <c r="BK11" s="37" t="n"/>
      <c r="BL11" s="37" t="n"/>
      <c r="BM11" s="64" t="inlineStr">
        <is>
          <t>-</t>
        </is>
      </c>
      <c r="BN11" s="64" t="inlineStr">
        <is>
          <t>-</t>
        </is>
      </c>
      <c r="BO11" s="71" t="n">
        <v>1</v>
      </c>
      <c r="BP11" s="39" t="n"/>
      <c r="BQ11" s="39" t="n"/>
      <c r="BR11" s="72" t="n">
        <v>400</v>
      </c>
      <c r="BS11" s="39" t="n"/>
      <c r="BT11" s="73" t="n">
        <v>400</v>
      </c>
      <c r="BU11" s="58" t="inlineStr">
        <is>
          <t>CK</t>
        </is>
      </c>
      <c r="BV11" s="37" t="n"/>
      <c r="BW11" s="37" t="n"/>
      <c r="BX11" s="37" t="n"/>
      <c r="BY11" s="58" t="inlineStr">
        <is>
          <t>Thanh toán đủ</t>
        </is>
      </c>
      <c r="BZ11" s="65" t="inlineStr">
        <is>
          <t>1,0</t>
        </is>
      </c>
      <c r="CA11" s="58" t="inlineStr">
        <is>
          <t>x</t>
        </is>
      </c>
      <c r="CB11" s="58" t="inlineStr">
        <is>
          <t>x</t>
        </is>
      </c>
      <c r="CC11" s="58" t="inlineStr">
        <is>
          <t>x</t>
        </is>
      </c>
      <c r="CD11" s="58" t="inlineStr">
        <is>
          <t>Đã hết hạn</t>
        </is>
      </c>
      <c r="CE11" s="58" t="inlineStr">
        <is>
          <t>Ngọc</t>
        </is>
      </c>
      <c r="CF11" s="74" t="inlineStr">
        <is>
          <t>BL2 từ ngày 4/1/2026 đến ngày 3/3/2026</t>
        </is>
      </c>
      <c r="CG11" s="60" t="n">
        <v>1</v>
      </c>
      <c r="CH11" s="39" t="n"/>
      <c r="CI11" s="39" t="n"/>
      <c r="CJ11" s="58" t="inlineStr">
        <is>
          <t>Đã hết hạn</t>
        </is>
      </c>
      <c r="CK11" s="37" t="n"/>
      <c r="CL11" s="37" t="n"/>
      <c r="CM11" s="58" t="n">
        <v>1</v>
      </c>
      <c r="CN11" s="37" t="n"/>
      <c r="CO11" s="58" t="n">
        <v>0</v>
      </c>
      <c r="CP11" s="58" t="n">
        <v>4242</v>
      </c>
      <c r="CQ11" s="37" t="n"/>
      <c r="CR11" s="68" t="n">
        <v>46113</v>
      </c>
      <c r="CS11" s="68" t="n">
        <v>46084</v>
      </c>
      <c r="CT11" s="37" t="n"/>
      <c r="CU11" s="37" t="n"/>
      <c r="CV11" s="37" t="n"/>
      <c r="CW11" s="37" t="n"/>
      <c r="CX11" s="37" t="n"/>
      <c r="CY11" s="37" t="n"/>
      <c r="CZ11" s="37" t="n"/>
      <c r="DA11" s="37" t="n"/>
      <c r="DB11" s="37" t="n"/>
      <c r="DC11" s="37" t="n"/>
      <c r="DD11" s="37" t="n"/>
    </row>
    <row r="12" ht="30.75" customHeight="1" s="75" thickBot="1">
      <c r="A12" s="57" t="n">
        <v>9</v>
      </c>
      <c r="B12" s="58" t="inlineStr">
        <is>
          <t>Unity</t>
        </is>
      </c>
      <c r="C12" s="58" t="n">
        <v>5</v>
      </c>
      <c r="D12" s="58" t="n">
        <v>1</v>
      </c>
      <c r="E12" s="60" t="n">
        <v>2026</v>
      </c>
      <c r="F12" s="59" t="n">
        <v>46143</v>
      </c>
      <c r="G12" s="60" t="n">
        <v>85</v>
      </c>
      <c r="H12" s="39" t="n"/>
      <c r="I12" s="61" t="inlineStr">
        <is>
          <t>CUS0001747</t>
        </is>
      </c>
      <c r="J12" s="62" t="inlineStr">
        <is>
          <t>Nguyễn Thị Phương</t>
        </is>
      </c>
      <c r="K12" s="37" t="n"/>
      <c r="L12" s="58" t="n">
        <v>982832273</v>
      </c>
      <c r="M12" s="58" t="inlineStr">
        <is>
          <t>BLMP</t>
        </is>
      </c>
      <c r="N12" s="58" t="inlineStr">
        <is>
          <t>x</t>
        </is>
      </c>
      <c r="O12" s="37" t="n"/>
      <c r="P12" s="40" t="n"/>
      <c r="Q12" s="58" t="inlineStr">
        <is>
          <t>Other</t>
        </is>
      </c>
      <c r="R12" s="64" t="inlineStr">
        <is>
          <t>Other</t>
        </is>
      </c>
      <c r="S12" s="41" t="n"/>
      <c r="T12" s="66" t="inlineStr">
        <is>
          <t>Ngọc</t>
        </is>
      </c>
      <c r="U12" s="64" t="n">
        <v>0</v>
      </c>
      <c r="V12" s="37" t="n"/>
      <c r="W12" s="37" t="n"/>
      <c r="X12" s="37" t="n"/>
      <c r="Y12" s="37" t="n"/>
      <c r="Z12" s="42" t="n"/>
      <c r="AA12" s="64" t="n">
        <v>3</v>
      </c>
      <c r="AB12" s="37" t="n"/>
      <c r="AC12" s="58" t="n">
        <v>3</v>
      </c>
      <c r="AD12" s="37" t="n"/>
      <c r="AE12" s="42" t="n"/>
      <c r="AF12" s="58" t="inlineStr">
        <is>
          <t>BLMP</t>
        </is>
      </c>
      <c r="AG12" s="37" t="n"/>
      <c r="AH12" s="37" t="n"/>
      <c r="AI12" s="58" t="inlineStr">
        <is>
          <t>x</t>
        </is>
      </c>
      <c r="AJ12" s="64" t="inlineStr">
        <is>
          <t>Tháng</t>
        </is>
      </c>
      <c r="AK12" s="68" t="n">
        <v>46143</v>
      </c>
      <c r="AL12" s="38" t="n"/>
      <c r="AM12" s="38" t="n"/>
      <c r="AN12" s="59" t="n">
        <v>46116</v>
      </c>
      <c r="AO12" s="59" t="n">
        <v>46116</v>
      </c>
      <c r="AP12" s="38" t="n"/>
      <c r="AQ12" s="38" t="n"/>
      <c r="AR12" s="59" t="n">
        <v>46116</v>
      </c>
      <c r="AS12" s="69" t="inlineStr">
        <is>
          <t>Đã hết hạn 112 ngày rồi</t>
        </is>
      </c>
      <c r="AT12" s="62" t="n">
        <v>90</v>
      </c>
      <c r="AU12" s="62" t="n">
        <v>202</v>
      </c>
      <c r="AV12" s="62" t="n">
        <v>-112</v>
      </c>
      <c r="AW12" s="39" t="n"/>
      <c r="AX12" s="39" t="n"/>
      <c r="AY12" s="38" t="n"/>
      <c r="AZ12" s="64" t="inlineStr">
        <is>
          <t>-</t>
        </is>
      </c>
      <c r="BA12" s="64" t="inlineStr">
        <is>
          <t>-</t>
        </is>
      </c>
      <c r="BB12" s="70" t="inlineStr">
        <is>
          <t>-</t>
        </is>
      </c>
      <c r="BC12" s="70" t="inlineStr">
        <is>
          <t>-</t>
        </is>
      </c>
      <c r="BD12" s="70" t="inlineStr">
        <is>
          <t>-</t>
        </is>
      </c>
      <c r="BE12" s="37" t="n"/>
      <c r="BF12" s="58" t="inlineStr">
        <is>
          <t>-</t>
        </is>
      </c>
      <c r="BG12" s="64" t="inlineStr">
        <is>
          <t>-</t>
        </is>
      </c>
      <c r="BH12" s="64" t="inlineStr">
        <is>
          <t>-</t>
        </is>
      </c>
      <c r="BI12" s="37" t="n"/>
      <c r="BJ12" s="37" t="n"/>
      <c r="BK12" s="37" t="n"/>
      <c r="BL12" s="37" t="n"/>
      <c r="BM12" s="64" t="inlineStr">
        <is>
          <t>-</t>
        </is>
      </c>
      <c r="BN12" s="64" t="inlineStr">
        <is>
          <t>-</t>
        </is>
      </c>
      <c r="BO12" s="71" t="n">
        <v>1</v>
      </c>
      <c r="BP12" s="39" t="n"/>
      <c r="BQ12" s="39" t="n"/>
      <c r="BR12" s="39" t="n"/>
      <c r="BS12" s="39" t="n"/>
      <c r="BT12" s="73" t="inlineStr">
        <is>
          <t>-</t>
        </is>
      </c>
      <c r="BU12" s="58" t="inlineStr">
        <is>
          <t>.</t>
        </is>
      </c>
      <c r="BV12" s="37" t="n"/>
      <c r="BW12" s="37" t="n"/>
      <c r="BX12" s="37" t="n"/>
      <c r="BY12" s="58" t="inlineStr">
        <is>
          <t>x</t>
        </is>
      </c>
      <c r="BZ12" s="65" t="inlineStr">
        <is>
          <t>1,0</t>
        </is>
      </c>
      <c r="CA12" s="58" t="inlineStr">
        <is>
          <t>x</t>
        </is>
      </c>
      <c r="CB12" s="58" t="inlineStr">
        <is>
          <t>x</t>
        </is>
      </c>
      <c r="CC12" s="58" t="inlineStr">
        <is>
          <t>x</t>
        </is>
      </c>
      <c r="CD12" s="58" t="inlineStr">
        <is>
          <t>Đã hết hạn</t>
        </is>
      </c>
      <c r="CE12" s="58" t="inlineStr">
        <is>
          <t>Ngọc</t>
        </is>
      </c>
      <c r="CF12" s="74" t="inlineStr">
        <is>
          <t>BLMP3 từ ngày 5/1/2026 đến ngày 4/4/2026</t>
        </is>
      </c>
      <c r="CG12" s="60" t="n">
        <v>1</v>
      </c>
      <c r="CH12" s="39" t="n"/>
      <c r="CI12" s="39" t="n"/>
      <c r="CJ12" s="58" t="inlineStr">
        <is>
          <t>Đã hết hạn</t>
        </is>
      </c>
      <c r="CK12" s="37" t="n"/>
      <c r="CL12" s="37" t="n"/>
      <c r="CM12" s="58" t="n">
        <v>1</v>
      </c>
      <c r="CN12" s="37" t="n"/>
      <c r="CO12" s="58" t="n">
        <v>0</v>
      </c>
      <c r="CP12" s="37" t="n"/>
      <c r="CQ12" s="37" t="n"/>
      <c r="CR12" s="68" t="n">
        <v>46143</v>
      </c>
      <c r="CS12" s="68" t="n">
        <v>46116</v>
      </c>
      <c r="CT12" s="37" t="n"/>
      <c r="CU12" s="37" t="n"/>
      <c r="CV12" s="37" t="n"/>
      <c r="CW12" s="37" t="n"/>
      <c r="CX12" s="37" t="n"/>
      <c r="CY12" s="37" t="n"/>
      <c r="CZ12" s="37" t="n"/>
      <c r="DA12" s="37" t="n"/>
      <c r="DB12" s="37" t="n"/>
      <c r="DC12" s="37" t="n"/>
      <c r="DD12" s="37" t="n"/>
    </row>
    <row r="13" ht="30.75" customHeight="1" s="75" thickBot="1">
      <c r="A13" s="57" t="n">
        <v>10</v>
      </c>
      <c r="B13" s="58" t="inlineStr">
        <is>
          <t>Unity</t>
        </is>
      </c>
      <c r="C13" s="58" t="n">
        <v>5</v>
      </c>
      <c r="D13" s="58" t="n">
        <v>1</v>
      </c>
      <c r="E13" s="60" t="n">
        <v>2026</v>
      </c>
      <c r="F13" s="59" t="n">
        <v>46143</v>
      </c>
      <c r="G13" s="60" t="n">
        <v>85</v>
      </c>
      <c r="H13" s="39" t="n"/>
      <c r="I13" s="61" t="inlineStr">
        <is>
          <t>CUS0002163</t>
        </is>
      </c>
      <c r="J13" s="62" t="inlineStr">
        <is>
          <t>Nguyễn Thị Ngần</t>
        </is>
      </c>
      <c r="K13" s="37" t="n"/>
      <c r="L13" s="58" t="n">
        <v>972588114</v>
      </c>
      <c r="M13" s="58" t="inlineStr">
        <is>
          <t>BLMP</t>
        </is>
      </c>
      <c r="N13" s="58" t="inlineStr">
        <is>
          <t>x</t>
        </is>
      </c>
      <c r="O13" s="37" t="n"/>
      <c r="P13" s="40" t="n"/>
      <c r="Q13" s="58" t="inlineStr">
        <is>
          <t>Other</t>
        </is>
      </c>
      <c r="R13" s="64" t="inlineStr">
        <is>
          <t>Other</t>
        </is>
      </c>
      <c r="S13" s="41" t="n"/>
      <c r="T13" s="66" t="inlineStr">
        <is>
          <t>Diệp</t>
        </is>
      </c>
      <c r="U13" s="64" t="n">
        <v>0</v>
      </c>
      <c r="V13" s="37" t="n"/>
      <c r="W13" s="37" t="n"/>
      <c r="X13" s="37" t="n"/>
      <c r="Y13" s="37" t="n"/>
      <c r="Z13" s="42" t="n"/>
      <c r="AA13" s="64" t="n">
        <v>3</v>
      </c>
      <c r="AB13" s="37" t="n"/>
      <c r="AC13" s="58" t="n">
        <v>3</v>
      </c>
      <c r="AD13" s="37" t="n"/>
      <c r="AE13" s="42" t="n"/>
      <c r="AF13" s="58" t="inlineStr">
        <is>
          <t>BLMP</t>
        </is>
      </c>
      <c r="AG13" s="37" t="n"/>
      <c r="AH13" s="37" t="n"/>
      <c r="AI13" s="58" t="inlineStr">
        <is>
          <t>x</t>
        </is>
      </c>
      <c r="AJ13" s="64" t="inlineStr">
        <is>
          <t>Tháng</t>
        </is>
      </c>
      <c r="AK13" s="68" t="n">
        <v>46143</v>
      </c>
      <c r="AL13" s="38" t="n"/>
      <c r="AM13" s="38" t="n"/>
      <c r="AN13" s="59" t="n">
        <v>46116</v>
      </c>
      <c r="AO13" s="59" t="n">
        <v>46116</v>
      </c>
      <c r="AP13" s="38" t="n"/>
      <c r="AQ13" s="38" t="n"/>
      <c r="AR13" s="59" t="n">
        <v>46116</v>
      </c>
      <c r="AS13" s="69" t="inlineStr">
        <is>
          <t>Đã hết hạn 112 ngày rồi</t>
        </is>
      </c>
      <c r="AT13" s="62" t="n">
        <v>90</v>
      </c>
      <c r="AU13" s="62" t="n">
        <v>202</v>
      </c>
      <c r="AV13" s="62" t="n">
        <v>-112</v>
      </c>
      <c r="AW13" s="39" t="n"/>
      <c r="AX13" s="39" t="n"/>
      <c r="AY13" s="38" t="n"/>
      <c r="AZ13" s="64" t="inlineStr">
        <is>
          <t>-</t>
        </is>
      </c>
      <c r="BA13" s="64" t="inlineStr">
        <is>
          <t>-</t>
        </is>
      </c>
      <c r="BB13" s="70" t="inlineStr">
        <is>
          <t>-</t>
        </is>
      </c>
      <c r="BC13" s="70" t="inlineStr">
        <is>
          <t>-</t>
        </is>
      </c>
      <c r="BD13" s="70" t="inlineStr">
        <is>
          <t>-</t>
        </is>
      </c>
      <c r="BE13" s="37" t="n"/>
      <c r="BF13" s="58" t="inlineStr">
        <is>
          <t>-</t>
        </is>
      </c>
      <c r="BG13" s="64" t="inlineStr">
        <is>
          <t>-</t>
        </is>
      </c>
      <c r="BH13" s="64" t="inlineStr">
        <is>
          <t>-</t>
        </is>
      </c>
      <c r="BI13" s="37" t="n"/>
      <c r="BJ13" s="37" t="n"/>
      <c r="BK13" s="37" t="n"/>
      <c r="BL13" s="37" t="n"/>
      <c r="BM13" s="64" t="inlineStr">
        <is>
          <t>-</t>
        </is>
      </c>
      <c r="BN13" s="64" t="inlineStr">
        <is>
          <t>-</t>
        </is>
      </c>
      <c r="BO13" s="71" t="n">
        <v>1</v>
      </c>
      <c r="BP13" s="39" t="n"/>
      <c r="BQ13" s="39" t="n"/>
      <c r="BR13" s="39" t="n"/>
      <c r="BS13" s="39" t="n"/>
      <c r="BT13" s="73" t="inlineStr">
        <is>
          <t>-</t>
        </is>
      </c>
      <c r="BU13" s="58" t="inlineStr">
        <is>
          <t>.</t>
        </is>
      </c>
      <c r="BV13" s="37" t="n"/>
      <c r="BW13" s="37" t="n"/>
      <c r="BX13" s="37" t="n"/>
      <c r="BY13" s="58" t="inlineStr">
        <is>
          <t>x</t>
        </is>
      </c>
      <c r="BZ13" s="65" t="inlineStr">
        <is>
          <t>1,0</t>
        </is>
      </c>
      <c r="CA13" s="58" t="inlineStr">
        <is>
          <t>x</t>
        </is>
      </c>
      <c r="CB13" s="58" t="inlineStr">
        <is>
          <t>x</t>
        </is>
      </c>
      <c r="CC13" s="58" t="inlineStr">
        <is>
          <t>x</t>
        </is>
      </c>
      <c r="CD13" s="58" t="inlineStr">
        <is>
          <t>Đã hết hạn</t>
        </is>
      </c>
      <c r="CE13" s="58" t="inlineStr">
        <is>
          <t>Diệp</t>
        </is>
      </c>
      <c r="CF13" s="74" t="inlineStr">
        <is>
          <t>BLMP3 từ ngày 5/1/2026 đến ngày 4/4/2026</t>
        </is>
      </c>
      <c r="CG13" s="60" t="n">
        <v>1</v>
      </c>
      <c r="CH13" s="39" t="n"/>
      <c r="CI13" s="39" t="n"/>
      <c r="CJ13" s="58" t="inlineStr">
        <is>
          <t>Đã hết hạn</t>
        </is>
      </c>
      <c r="CK13" s="37" t="n"/>
      <c r="CL13" s="37" t="n"/>
      <c r="CM13" s="58" t="n">
        <v>1</v>
      </c>
      <c r="CN13" s="37" t="n"/>
      <c r="CO13" s="58" t="n">
        <v>0</v>
      </c>
      <c r="CP13" s="37" t="n"/>
      <c r="CQ13" s="37" t="n"/>
      <c r="CR13" s="68" t="n">
        <v>46143</v>
      </c>
      <c r="CS13" s="68" t="n">
        <v>46116</v>
      </c>
      <c r="CT13" s="37" t="n"/>
      <c r="CU13" s="37" t="n"/>
      <c r="CV13" s="37" t="n"/>
      <c r="CW13" s="37" t="n"/>
      <c r="CX13" s="37" t="n"/>
      <c r="CY13" s="37" t="n"/>
      <c r="CZ13" s="37" t="n"/>
      <c r="DA13" s="37" t="n"/>
      <c r="DB13" s="37" t="n"/>
      <c r="DC13" s="37" t="n"/>
      <c r="DD13" s="37" t="n"/>
    </row>
    <row r="14" ht="30.75" customHeight="1" s="75" thickBot="1">
      <c r="A14" s="57" t="n">
        <v>11</v>
      </c>
      <c r="B14" s="58" t="inlineStr">
        <is>
          <t>Unity</t>
        </is>
      </c>
      <c r="C14" s="58" t="n">
        <v>5</v>
      </c>
      <c r="D14" s="58" t="n">
        <v>1</v>
      </c>
      <c r="E14" s="60" t="n">
        <v>2026</v>
      </c>
      <c r="F14" s="59" t="n">
        <v>46143</v>
      </c>
      <c r="G14" s="60" t="n">
        <v>85</v>
      </c>
      <c r="H14" s="60" t="n">
        <v>4243</v>
      </c>
      <c r="I14" s="61" t="inlineStr">
        <is>
          <t>CUS0000914</t>
        </is>
      </c>
      <c r="J14" s="62" t="inlineStr">
        <is>
          <t>Nguyễn Thị Hợp</t>
        </is>
      </c>
      <c r="K14" s="37" t="n"/>
      <c r="L14" s="58" t="n">
        <v>334224561</v>
      </c>
      <c r="M14" s="58" t="inlineStr">
        <is>
          <t>CN1</t>
        </is>
      </c>
      <c r="N14" s="58" t="inlineStr">
        <is>
          <t>Other</t>
        </is>
      </c>
      <c r="O14" s="58" t="inlineStr">
        <is>
          <t>x</t>
        </is>
      </c>
      <c r="P14" s="63" t="inlineStr">
        <is>
          <t>xxx</t>
        </is>
      </c>
      <c r="Q14" s="58" t="inlineStr">
        <is>
          <t>Other</t>
        </is>
      </c>
      <c r="R14" s="64" t="inlineStr">
        <is>
          <t>Other</t>
        </is>
      </c>
      <c r="S14" s="65" t="inlineStr">
        <is>
          <t>xxx</t>
        </is>
      </c>
      <c r="T14" s="66" t="inlineStr">
        <is>
          <t>Diệp</t>
        </is>
      </c>
      <c r="U14" s="64" t="n">
        <v>0</v>
      </c>
      <c r="V14" s="37" t="n"/>
      <c r="W14" s="37" t="n"/>
      <c r="X14" s="37" t="n"/>
      <c r="Y14" s="37" t="n"/>
      <c r="Z14" s="42" t="n"/>
      <c r="AA14" s="64" t="n">
        <v>0</v>
      </c>
      <c r="AB14" s="37" t="n"/>
      <c r="AC14" s="37" t="n"/>
      <c r="AD14" s="37" t="n"/>
      <c r="AE14" s="42" t="n"/>
      <c r="AF14" s="58" t="inlineStr">
        <is>
          <t>CN1</t>
        </is>
      </c>
      <c r="AG14" s="37" t="n"/>
      <c r="AH14" s="37" t="n"/>
      <c r="AI14" s="58" t="inlineStr">
        <is>
          <t>MBSCN97</t>
        </is>
      </c>
      <c r="AJ14" s="64" t="inlineStr">
        <is>
          <t>1 lần</t>
        </is>
      </c>
      <c r="AK14" s="68" t="n">
        <v>46143</v>
      </c>
      <c r="AL14" s="38" t="n"/>
      <c r="AM14" s="38" t="n"/>
      <c r="AN14" s="38" t="n"/>
      <c r="AO14" s="59" t="n">
        <v>46113</v>
      </c>
      <c r="AP14" s="38" t="n"/>
      <c r="AQ14" s="38" t="n"/>
      <c r="AR14" s="59" t="n">
        <v>46113</v>
      </c>
      <c r="AS14" s="77" t="inlineStr">
        <is>
          <t>Đã hết hạn 202 ngày rồi</t>
        </is>
      </c>
      <c r="AT14" s="39" t="n"/>
      <c r="AU14" s="62" t="n">
        <v>202</v>
      </c>
      <c r="AV14" s="62" t="n">
        <v>-202</v>
      </c>
      <c r="AW14" s="39" t="n"/>
      <c r="AX14" s="39" t="n"/>
      <c r="AY14" s="64" t="inlineStr">
        <is>
          <t>1.000.000</t>
        </is>
      </c>
      <c r="AZ14" s="64" t="inlineStr">
        <is>
          <t>-</t>
        </is>
      </c>
      <c r="BA14" s="64" t="inlineStr">
        <is>
          <t>-</t>
        </is>
      </c>
      <c r="BB14" s="70" t="inlineStr">
        <is>
          <t>-</t>
        </is>
      </c>
      <c r="BC14" s="70" t="inlineStr">
        <is>
          <t>-</t>
        </is>
      </c>
      <c r="BD14" s="70" t="inlineStr">
        <is>
          <t>1.000.000</t>
        </is>
      </c>
      <c r="BE14" s="37" t="n"/>
      <c r="BF14" s="58" t="inlineStr">
        <is>
          <t>-</t>
        </is>
      </c>
      <c r="BG14" s="64" t="inlineStr">
        <is>
          <t>1.000.000</t>
        </is>
      </c>
      <c r="BH14" s="64" t="inlineStr">
        <is>
          <t>1.000.000</t>
        </is>
      </c>
      <c r="BI14" s="37" t="n"/>
      <c r="BJ14" s="37" t="n"/>
      <c r="BK14" s="37" t="n"/>
      <c r="BL14" s="37" t="n"/>
      <c r="BM14" s="64" t="inlineStr">
        <is>
          <t>-</t>
        </is>
      </c>
      <c r="BN14" s="64" t="inlineStr">
        <is>
          <t>-</t>
        </is>
      </c>
      <c r="BO14" s="71" t="n">
        <v>1</v>
      </c>
      <c r="BP14" s="39" t="n"/>
      <c r="BQ14" s="39" t="n"/>
      <c r="BR14" s="72" t="inlineStr">
        <is>
          <t>1.000.000</t>
        </is>
      </c>
      <c r="BS14" s="39" t="n"/>
      <c r="BT14" s="73" t="inlineStr">
        <is>
          <t>1.000.000</t>
        </is>
      </c>
      <c r="BU14" s="58" t="inlineStr">
        <is>
          <t>CK</t>
        </is>
      </c>
      <c r="BV14" s="37" t="n"/>
      <c r="BW14" s="37" t="n"/>
      <c r="BX14" s="37" t="n"/>
      <c r="BY14" s="58" t="inlineStr">
        <is>
          <t>Thanh toán đủ</t>
        </is>
      </c>
      <c r="BZ14" s="65" t="inlineStr">
        <is>
          <t>1,0</t>
        </is>
      </c>
      <c r="CA14" s="58" t="inlineStr">
        <is>
          <t>CN MBS</t>
        </is>
      </c>
      <c r="CB14" s="58" t="inlineStr">
        <is>
          <t>APPT</t>
        </is>
      </c>
      <c r="CC14" s="58" t="inlineStr">
        <is>
          <t>CN MBS</t>
        </is>
      </c>
      <c r="CD14" s="58" t="inlineStr">
        <is>
          <t>Đã hết hạn</t>
        </is>
      </c>
      <c r="CE14" s="58" t="inlineStr">
        <is>
          <t>Diệp</t>
        </is>
      </c>
      <c r="CF14" s="74" t="inlineStr">
        <is>
          <t>Nguyễn Thị Hồng BN3836 gói OP24 CN cho Nguyễn Thị Hợp</t>
        </is>
      </c>
      <c r="CG14" s="60" t="n">
        <v>1</v>
      </c>
      <c r="CH14" s="39" t="n"/>
      <c r="CI14" s="39" t="n"/>
      <c r="CJ14" s="58" t="inlineStr">
        <is>
          <t>Đã hết hạn</t>
        </is>
      </c>
      <c r="CK14" s="37" t="n"/>
      <c r="CL14" s="37" t="n"/>
      <c r="CM14" s="58" t="n">
        <v>1</v>
      </c>
      <c r="CN14" s="37" t="n"/>
      <c r="CO14" s="58" t="n">
        <v>0</v>
      </c>
      <c r="CP14" s="58" t="n">
        <v>4243</v>
      </c>
      <c r="CQ14" s="58" t="inlineStr">
        <is>
          <t>x</t>
        </is>
      </c>
      <c r="CR14" s="68" t="n">
        <v>46143</v>
      </c>
      <c r="CS14" s="68" t="n">
        <v>46113</v>
      </c>
      <c r="CT14" s="37" t="n"/>
      <c r="CU14" s="37" t="n"/>
      <c r="CV14" s="37" t="n"/>
      <c r="CW14" s="37" t="n"/>
      <c r="CX14" s="37" t="n"/>
      <c r="CY14" s="37" t="n"/>
      <c r="CZ14" s="37" t="n"/>
      <c r="DA14" s="37" t="n"/>
      <c r="DB14" s="37" t="n"/>
      <c r="DC14" s="37" t="n"/>
      <c r="DD14" s="37" t="n"/>
    </row>
    <row r="15" ht="30.75" customHeight="1" s="75" thickBot="1">
      <c r="A15" s="57" t="n">
        <v>12</v>
      </c>
      <c r="B15" s="58" t="inlineStr">
        <is>
          <t>Unity</t>
        </is>
      </c>
      <c r="C15" s="58" t="n">
        <v>7</v>
      </c>
      <c r="D15" s="58" t="n">
        <v>1</v>
      </c>
      <c r="E15" s="60" t="n">
        <v>2026</v>
      </c>
      <c r="F15" s="59" t="n">
        <v>46204</v>
      </c>
      <c r="G15" s="60" t="n">
        <v>85</v>
      </c>
      <c r="H15" s="39" t="n"/>
      <c r="I15" s="60" t="inlineStr">
        <is>
          <t>CUS0002864</t>
        </is>
      </c>
      <c r="J15" s="62" t="inlineStr">
        <is>
          <t>Nguyễn Thị Đức</t>
        </is>
      </c>
      <c r="K15" s="37" t="n"/>
      <c r="L15" s="58" t="n">
        <v>981677955</v>
      </c>
      <c r="M15" s="58" t="inlineStr">
        <is>
          <t>BLMP</t>
        </is>
      </c>
      <c r="N15" s="58" t="inlineStr">
        <is>
          <t>x</t>
        </is>
      </c>
      <c r="O15" s="37" t="n"/>
      <c r="P15" s="40" t="n"/>
      <c r="Q15" s="58" t="inlineStr">
        <is>
          <t>Other</t>
        </is>
      </c>
      <c r="R15" s="64" t="inlineStr">
        <is>
          <t>Other</t>
        </is>
      </c>
      <c r="S15" s="41" t="n"/>
      <c r="T15" s="66" t="inlineStr">
        <is>
          <t>Ngọc</t>
        </is>
      </c>
      <c r="U15" s="64" t="n">
        <v>0</v>
      </c>
      <c r="V15" s="37" t="n"/>
      <c r="W15" s="37" t="n"/>
      <c r="X15" s="37" t="n"/>
      <c r="Y15" s="37" t="n"/>
      <c r="Z15" s="42" t="n"/>
      <c r="AA15" s="64" t="n">
        <v>2</v>
      </c>
      <c r="AB15" s="37" t="n"/>
      <c r="AC15" s="58" t="n">
        <v>2</v>
      </c>
      <c r="AD15" s="37" t="n"/>
      <c r="AE15" s="42" t="n"/>
      <c r="AF15" s="58" t="inlineStr">
        <is>
          <t>BLMP</t>
        </is>
      </c>
      <c r="AG15" s="37" t="n"/>
      <c r="AH15" s="37" t="n"/>
      <c r="AI15" s="58" t="inlineStr">
        <is>
          <t>x</t>
        </is>
      </c>
      <c r="AJ15" s="64" t="inlineStr">
        <is>
          <t>Tháng</t>
        </is>
      </c>
      <c r="AK15" s="68" t="n">
        <v>46204</v>
      </c>
      <c r="AL15" s="38" t="n"/>
      <c r="AM15" s="38" t="n"/>
      <c r="AN15" s="59" t="n">
        <v>46176</v>
      </c>
      <c r="AO15" s="59" t="n">
        <v>46176</v>
      </c>
      <c r="AP15" s="38" t="n"/>
      <c r="AQ15" s="38" t="n"/>
      <c r="AR15" s="59" t="n">
        <v>46176</v>
      </c>
      <c r="AS15" s="69" t="inlineStr">
        <is>
          <t>Đã hết hạn 141 ngày rồi</t>
        </is>
      </c>
      <c r="AT15" s="62" t="n">
        <v>59</v>
      </c>
      <c r="AU15" s="62" t="n">
        <v>200</v>
      </c>
      <c r="AV15" s="62" t="n">
        <v>-141</v>
      </c>
      <c r="AW15" s="39" t="n"/>
      <c r="AX15" s="39" t="n"/>
      <c r="AY15" s="38" t="n"/>
      <c r="AZ15" s="64" t="inlineStr">
        <is>
          <t>-</t>
        </is>
      </c>
      <c r="BA15" s="64" t="inlineStr">
        <is>
          <t>-</t>
        </is>
      </c>
      <c r="BB15" s="70" t="inlineStr">
        <is>
          <t>-</t>
        </is>
      </c>
      <c r="BC15" s="70" t="inlineStr">
        <is>
          <t>-</t>
        </is>
      </c>
      <c r="BD15" s="70" t="inlineStr">
        <is>
          <t>-</t>
        </is>
      </c>
      <c r="BE15" s="37" t="n"/>
      <c r="BF15" s="58" t="inlineStr">
        <is>
          <t>-</t>
        </is>
      </c>
      <c r="BG15" s="64" t="inlineStr">
        <is>
          <t>-</t>
        </is>
      </c>
      <c r="BH15" s="64" t="inlineStr">
        <is>
          <t>-</t>
        </is>
      </c>
      <c r="BI15" s="37" t="n"/>
      <c r="BJ15" s="37" t="n"/>
      <c r="BK15" s="37" t="n"/>
      <c r="BL15" s="37" t="n"/>
      <c r="BM15" s="64" t="inlineStr">
        <is>
          <t>-</t>
        </is>
      </c>
      <c r="BN15" s="64" t="inlineStr">
        <is>
          <t>-</t>
        </is>
      </c>
      <c r="BO15" s="71" t="n">
        <v>1</v>
      </c>
      <c r="BP15" s="39" t="n"/>
      <c r="BQ15" s="39" t="n"/>
      <c r="BR15" s="39" t="n"/>
      <c r="BS15" s="39" t="n"/>
      <c r="BT15" s="73" t="inlineStr">
        <is>
          <t>-</t>
        </is>
      </c>
      <c r="BU15" s="58" t="inlineStr">
        <is>
          <t>.</t>
        </is>
      </c>
      <c r="BV15" s="37" t="n"/>
      <c r="BW15" s="37" t="n"/>
      <c r="BX15" s="37" t="n"/>
      <c r="BY15" s="58" t="inlineStr">
        <is>
          <t>x</t>
        </is>
      </c>
      <c r="BZ15" s="65" t="inlineStr">
        <is>
          <t>1,0</t>
        </is>
      </c>
      <c r="CA15" s="58" t="inlineStr">
        <is>
          <t>x</t>
        </is>
      </c>
      <c r="CB15" s="58" t="inlineStr">
        <is>
          <t>x</t>
        </is>
      </c>
      <c r="CC15" s="58" t="inlineStr">
        <is>
          <t>x</t>
        </is>
      </c>
      <c r="CD15" s="58" t="inlineStr">
        <is>
          <t>Đã hết hạn</t>
        </is>
      </c>
      <c r="CE15" s="58" t="inlineStr">
        <is>
          <t>Ngọc</t>
        </is>
      </c>
      <c r="CF15" s="74" t="inlineStr">
        <is>
          <t>BLMP2 từ ngày 7/1/2026 đến ngày 6/3/2026</t>
        </is>
      </c>
      <c r="CG15" s="60" t="n">
        <v>1</v>
      </c>
      <c r="CH15" s="39" t="n"/>
      <c r="CI15" s="39" t="n"/>
      <c r="CJ15" s="58" t="inlineStr">
        <is>
          <t>Đã hết hạn</t>
        </is>
      </c>
      <c r="CK15" s="37" t="n"/>
      <c r="CL15" s="37" t="n"/>
      <c r="CM15" s="58" t="n">
        <v>1</v>
      </c>
      <c r="CN15" s="37" t="n"/>
      <c r="CO15" s="58" t="n">
        <v>0</v>
      </c>
      <c r="CP15" s="37" t="n"/>
      <c r="CQ15" s="37" t="n"/>
      <c r="CR15" s="68" t="n">
        <v>46204</v>
      </c>
      <c r="CS15" s="68" t="n">
        <v>46176</v>
      </c>
      <c r="CT15" s="37" t="n"/>
      <c r="CU15" s="37" t="n"/>
      <c r="CV15" s="37" t="n"/>
      <c r="CW15" s="37" t="n"/>
      <c r="CX15" s="37" t="n"/>
      <c r="CY15" s="37" t="n"/>
      <c r="CZ15" s="37" t="n"/>
      <c r="DA15" s="37" t="n"/>
      <c r="DB15" s="37" t="n"/>
      <c r="DC15" s="37" t="n"/>
      <c r="DD15" s="37" t="n"/>
    </row>
    <row r="16" ht="30.75" customHeight="1" s="75" thickBot="1">
      <c r="A16" s="57" t="n">
        <v>13</v>
      </c>
      <c r="B16" s="58" t="inlineStr">
        <is>
          <t>Unity</t>
        </is>
      </c>
      <c r="C16" s="58" t="n">
        <v>7</v>
      </c>
      <c r="D16" s="58" t="n">
        <v>1</v>
      </c>
      <c r="E16" s="58" t="n">
        <v>2026</v>
      </c>
      <c r="F16" s="59" t="n">
        <v>46204</v>
      </c>
      <c r="G16" s="60" t="n">
        <v>85</v>
      </c>
      <c r="H16" s="39" t="n"/>
      <c r="I16" s="60" t="inlineStr">
        <is>
          <t>CUS0002863</t>
        </is>
      </c>
      <c r="J16" s="62" t="inlineStr">
        <is>
          <t>Lê Thị Bích</t>
        </is>
      </c>
      <c r="K16" s="37" t="n"/>
      <c r="L16" s="58" t="n">
        <v>984157670</v>
      </c>
      <c r="M16" s="58" t="inlineStr">
        <is>
          <t>BLMP</t>
        </is>
      </c>
      <c r="N16" s="58" t="inlineStr">
        <is>
          <t>x</t>
        </is>
      </c>
      <c r="O16" s="37" t="n"/>
      <c r="P16" s="40" t="n"/>
      <c r="Q16" s="58" t="inlineStr">
        <is>
          <t>Other</t>
        </is>
      </c>
      <c r="R16" s="64" t="inlineStr">
        <is>
          <t>Other</t>
        </is>
      </c>
      <c r="S16" s="41" t="n"/>
      <c r="T16" s="66" t="inlineStr">
        <is>
          <t>Ngọc</t>
        </is>
      </c>
      <c r="U16" s="64" t="n">
        <v>0</v>
      </c>
      <c r="V16" s="37" t="n"/>
      <c r="W16" s="37" t="n"/>
      <c r="X16" s="37" t="n"/>
      <c r="Y16" s="37" t="n"/>
      <c r="Z16" s="42" t="n"/>
      <c r="AA16" s="64" t="n">
        <v>2</v>
      </c>
      <c r="AB16" s="37" t="n"/>
      <c r="AC16" s="58" t="n">
        <v>2</v>
      </c>
      <c r="AD16" s="37" t="n"/>
      <c r="AE16" s="42" t="n"/>
      <c r="AF16" s="58" t="inlineStr">
        <is>
          <t>BLMP</t>
        </is>
      </c>
      <c r="AG16" s="37" t="n"/>
      <c r="AH16" s="37" t="n"/>
      <c r="AI16" s="58" t="inlineStr">
        <is>
          <t>x</t>
        </is>
      </c>
      <c r="AJ16" s="64" t="inlineStr">
        <is>
          <t>Tháng</t>
        </is>
      </c>
      <c r="AK16" s="68" t="n">
        <v>46204</v>
      </c>
      <c r="AL16" s="38" t="n"/>
      <c r="AM16" s="38" t="n"/>
      <c r="AN16" s="59" t="n">
        <v>46176</v>
      </c>
      <c r="AO16" s="59" t="n">
        <v>46176</v>
      </c>
      <c r="AP16" s="38" t="n"/>
      <c r="AQ16" s="38" t="n"/>
      <c r="AR16" s="59" t="n">
        <v>46176</v>
      </c>
      <c r="AS16" s="69" t="inlineStr">
        <is>
          <t>Đã hết hạn 141 ngày rồi</t>
        </is>
      </c>
      <c r="AT16" s="62" t="n">
        <v>59</v>
      </c>
      <c r="AU16" s="62" t="n">
        <v>200</v>
      </c>
      <c r="AV16" s="62" t="n">
        <v>-141</v>
      </c>
      <c r="AW16" s="39" t="n"/>
      <c r="AX16" s="39" t="n"/>
      <c r="AY16" s="38" t="n"/>
      <c r="AZ16" s="64" t="inlineStr">
        <is>
          <t>-</t>
        </is>
      </c>
      <c r="BA16" s="64" t="inlineStr">
        <is>
          <t>-</t>
        </is>
      </c>
      <c r="BB16" s="70" t="inlineStr">
        <is>
          <t>-</t>
        </is>
      </c>
      <c r="BC16" s="70" t="inlineStr">
        <is>
          <t>-</t>
        </is>
      </c>
      <c r="BD16" s="70" t="inlineStr">
        <is>
          <t>-</t>
        </is>
      </c>
      <c r="BE16" s="37" t="n"/>
      <c r="BF16" s="58" t="inlineStr">
        <is>
          <t>-</t>
        </is>
      </c>
      <c r="BG16" s="64" t="inlineStr">
        <is>
          <t>-</t>
        </is>
      </c>
      <c r="BH16" s="64" t="inlineStr">
        <is>
          <t>-</t>
        </is>
      </c>
      <c r="BI16" s="37" t="n"/>
      <c r="BJ16" s="37" t="n"/>
      <c r="BK16" s="37" t="n"/>
      <c r="BL16" s="37" t="n"/>
      <c r="BM16" s="64" t="inlineStr">
        <is>
          <t>-</t>
        </is>
      </c>
      <c r="BN16" s="64" t="inlineStr">
        <is>
          <t>-</t>
        </is>
      </c>
      <c r="BO16" s="71" t="n">
        <v>1</v>
      </c>
      <c r="BP16" s="39" t="n"/>
      <c r="BQ16" s="39" t="n"/>
      <c r="BR16" s="39" t="n"/>
      <c r="BS16" s="39" t="n"/>
      <c r="BT16" s="73" t="inlineStr">
        <is>
          <t>-</t>
        </is>
      </c>
      <c r="BU16" s="58" t="inlineStr">
        <is>
          <t>.</t>
        </is>
      </c>
      <c r="BV16" s="37" t="n"/>
      <c r="BW16" s="37" t="n"/>
      <c r="BX16" s="37" t="n"/>
      <c r="BY16" s="58" t="inlineStr">
        <is>
          <t>x</t>
        </is>
      </c>
      <c r="BZ16" s="65" t="inlineStr">
        <is>
          <t>1,0</t>
        </is>
      </c>
      <c r="CA16" s="58" t="inlineStr">
        <is>
          <t>x</t>
        </is>
      </c>
      <c r="CB16" s="58" t="inlineStr">
        <is>
          <t>x</t>
        </is>
      </c>
      <c r="CC16" s="58" t="inlineStr">
        <is>
          <t>x</t>
        </is>
      </c>
      <c r="CD16" s="58" t="inlineStr">
        <is>
          <t>Đã hết hạn</t>
        </is>
      </c>
      <c r="CE16" s="58" t="inlineStr">
        <is>
          <t>Ngọc</t>
        </is>
      </c>
      <c r="CF16" s="74" t="inlineStr">
        <is>
          <t>BLMP2 từ ngày 7/1/2026 đến ngày 6/3/2026</t>
        </is>
      </c>
      <c r="CG16" s="60" t="n">
        <v>1</v>
      </c>
      <c r="CH16" s="39" t="n"/>
      <c r="CI16" s="39" t="n"/>
      <c r="CJ16" s="58" t="inlineStr">
        <is>
          <t>Đã hết hạn</t>
        </is>
      </c>
      <c r="CK16" s="37" t="n"/>
      <c r="CL16" s="37" t="n"/>
      <c r="CM16" s="58" t="n">
        <v>1</v>
      </c>
      <c r="CN16" s="37" t="n"/>
      <c r="CO16" s="58" t="n">
        <v>0</v>
      </c>
      <c r="CP16" s="37" t="n"/>
      <c r="CQ16" s="37" t="n"/>
      <c r="CR16" s="68" t="n">
        <v>46204</v>
      </c>
      <c r="CS16" s="68" t="n">
        <v>46176</v>
      </c>
      <c r="CT16" s="37" t="n"/>
      <c r="CU16" s="37" t="n"/>
      <c r="CV16" s="37" t="n"/>
      <c r="CW16" s="37" t="n"/>
      <c r="CX16" s="37" t="n"/>
      <c r="CY16" s="37" t="n"/>
      <c r="CZ16" s="37" t="n"/>
      <c r="DA16" s="37" t="n"/>
      <c r="DB16" s="37" t="n"/>
      <c r="DC16" s="37" t="n"/>
      <c r="DD16" s="37" t="n"/>
    </row>
    <row r="17" ht="30.75" customHeight="1" s="75" thickBot="1">
      <c r="A17" s="57" t="n">
        <v>14</v>
      </c>
      <c r="B17" s="58" t="inlineStr">
        <is>
          <t>Unity</t>
        </is>
      </c>
      <c r="C17" s="58" t="n">
        <v>7</v>
      </c>
      <c r="D17" s="58" t="n">
        <v>1</v>
      </c>
      <c r="E17" s="58" t="n">
        <v>2026</v>
      </c>
      <c r="F17" s="59" t="n">
        <v>46204</v>
      </c>
      <c r="G17" s="60" t="n">
        <v>85</v>
      </c>
      <c r="H17" s="60" t="n">
        <v>4244</v>
      </c>
      <c r="I17" s="60" t="inlineStr">
        <is>
          <t>CUS0002384</t>
        </is>
      </c>
      <c r="J17" s="62" t="inlineStr">
        <is>
          <t>Chu Hoàng Anh</t>
        </is>
      </c>
      <c r="K17" s="37" t="n"/>
      <c r="L17" s="58" t="n">
        <v>945111676</v>
      </c>
      <c r="M17" s="58" t="inlineStr">
        <is>
          <t>BL</t>
        </is>
      </c>
      <c r="N17" s="58" t="inlineStr">
        <is>
          <t>Other</t>
        </is>
      </c>
      <c r="O17" s="58" t="inlineStr">
        <is>
          <t>x</t>
        </is>
      </c>
      <c r="P17" s="63" t="inlineStr">
        <is>
          <t>xxx</t>
        </is>
      </c>
      <c r="Q17" s="58" t="inlineStr">
        <is>
          <t>Other</t>
        </is>
      </c>
      <c r="R17" s="64" t="inlineStr">
        <is>
          <t>Other</t>
        </is>
      </c>
      <c r="S17" s="65" t="inlineStr">
        <is>
          <t>xxx</t>
        </is>
      </c>
      <c r="T17" s="66" t="inlineStr">
        <is>
          <t>x</t>
        </is>
      </c>
      <c r="U17" s="64" t="n">
        <v>0</v>
      </c>
      <c r="V17" s="37" t="n"/>
      <c r="W17" s="37" t="n"/>
      <c r="X17" s="37" t="n"/>
      <c r="Y17" s="37" t="n"/>
      <c r="Z17" s="42" t="n"/>
      <c r="AA17" s="64" t="n">
        <v>4</v>
      </c>
      <c r="AB17" s="37" t="n"/>
      <c r="AC17" s="58" t="n">
        <v>4</v>
      </c>
      <c r="AD17" s="37" t="n"/>
      <c r="AE17" s="42" t="n"/>
      <c r="AF17" s="58" t="inlineStr">
        <is>
          <t>BL</t>
        </is>
      </c>
      <c r="AG17" s="37" t="n"/>
      <c r="AH17" s="37" t="n"/>
      <c r="AI17" s="58" t="inlineStr">
        <is>
          <t>x</t>
        </is>
      </c>
      <c r="AJ17" s="64" t="inlineStr">
        <is>
          <t>Tháng</t>
        </is>
      </c>
      <c r="AK17" s="68" t="n">
        <v>46204</v>
      </c>
      <c r="AL17" s="38" t="n"/>
      <c r="AM17" s="38" t="n"/>
      <c r="AN17" s="59" t="n">
        <v>46178</v>
      </c>
      <c r="AO17" s="59" t="n">
        <v>46178</v>
      </c>
      <c r="AP17" s="38" t="n"/>
      <c r="AQ17" s="38" t="n"/>
      <c r="AR17" s="59" t="n">
        <v>46178</v>
      </c>
      <c r="AS17" s="69" t="inlineStr">
        <is>
          <t>Đã hết hạn 80 ngày rồi</t>
        </is>
      </c>
      <c r="AT17" s="62" t="n">
        <v>120</v>
      </c>
      <c r="AU17" s="62" t="n">
        <v>200</v>
      </c>
      <c r="AV17" s="62" t="n">
        <v>-80</v>
      </c>
      <c r="AW17" s="39" t="n"/>
      <c r="AX17" s="39" t="n"/>
      <c r="AY17" s="64" t="n">
        <v>200</v>
      </c>
      <c r="AZ17" s="64" t="n">
        <v>800</v>
      </c>
      <c r="BA17" s="64" t="inlineStr">
        <is>
          <t>-</t>
        </is>
      </c>
      <c r="BB17" s="70" t="inlineStr">
        <is>
          <t>-</t>
        </is>
      </c>
      <c r="BC17" s="70" t="inlineStr">
        <is>
          <t>-</t>
        </is>
      </c>
      <c r="BD17" s="70" t="n">
        <v>800</v>
      </c>
      <c r="BE17" s="58" t="inlineStr">
        <is>
          <t>50,0%</t>
        </is>
      </c>
      <c r="BF17" s="58" t="n">
        <v>400</v>
      </c>
      <c r="BG17" s="64" t="n">
        <v>400</v>
      </c>
      <c r="BH17" s="64" t="n">
        <v>400</v>
      </c>
      <c r="BI17" s="37" t="n"/>
      <c r="BJ17" s="37" t="n"/>
      <c r="BK17" s="37" t="n"/>
      <c r="BL17" s="37" t="n"/>
      <c r="BM17" s="64" t="inlineStr">
        <is>
          <t>-</t>
        </is>
      </c>
      <c r="BN17" s="64" t="inlineStr">
        <is>
          <t>-</t>
        </is>
      </c>
      <c r="BO17" s="71" t="n">
        <v>1</v>
      </c>
      <c r="BP17" s="39" t="n"/>
      <c r="BQ17" s="39" t="n"/>
      <c r="BR17" s="72" t="n">
        <v>400</v>
      </c>
      <c r="BS17" s="39" t="n"/>
      <c r="BT17" s="73" t="n">
        <v>400</v>
      </c>
      <c r="BU17" s="58" t="inlineStr">
        <is>
          <t>CK</t>
        </is>
      </c>
      <c r="BV17" s="37" t="n"/>
      <c r="BW17" s="37" t="n"/>
      <c r="BX17" s="37" t="n"/>
      <c r="BY17" s="58" t="inlineStr">
        <is>
          <t>Thanh toán đủ</t>
        </is>
      </c>
      <c r="BZ17" s="65" t="inlineStr">
        <is>
          <t>1,0</t>
        </is>
      </c>
      <c r="CA17" s="58" t="inlineStr">
        <is>
          <t>x</t>
        </is>
      </c>
      <c r="CB17" s="58" t="inlineStr">
        <is>
          <t>x</t>
        </is>
      </c>
      <c r="CC17" s="58" t="inlineStr">
        <is>
          <t>x</t>
        </is>
      </c>
      <c r="CD17" s="58" t="inlineStr">
        <is>
          <t>Đã hết hạn</t>
        </is>
      </c>
      <c r="CE17" s="58" t="inlineStr">
        <is>
          <t>x</t>
        </is>
      </c>
      <c r="CF17" s="74" t="inlineStr">
        <is>
          <t>BL4 từ ngày 7/1/2026 đến ngày 6/5/2026</t>
        </is>
      </c>
      <c r="CG17" s="60" t="n">
        <v>1</v>
      </c>
      <c r="CH17" s="39" t="n"/>
      <c r="CI17" s="39" t="n"/>
      <c r="CJ17" s="58" t="inlineStr">
        <is>
          <t>Đã hết hạn</t>
        </is>
      </c>
      <c r="CK17" s="37" t="n"/>
      <c r="CL17" s="37" t="n"/>
      <c r="CM17" s="58" t="n">
        <v>1</v>
      </c>
      <c r="CN17" s="37" t="n"/>
      <c r="CO17" s="58" t="n">
        <v>0</v>
      </c>
      <c r="CP17" s="58" t="n">
        <v>4244</v>
      </c>
      <c r="CQ17" s="37" t="n"/>
      <c r="CR17" s="68" t="n">
        <v>46204</v>
      </c>
      <c r="CS17" s="68" t="n">
        <v>46178</v>
      </c>
      <c r="CT17" s="37" t="n"/>
      <c r="CU17" s="37" t="n"/>
      <c r="CV17" s="37" t="n"/>
      <c r="CW17" s="37" t="n"/>
      <c r="CX17" s="37" t="n"/>
      <c r="CY17" s="37" t="n"/>
      <c r="CZ17" s="37" t="n"/>
      <c r="DA17" s="37" t="n"/>
      <c r="DB17" s="37" t="n"/>
      <c r="DC17" s="37" t="n"/>
      <c r="DD17" s="37" t="n"/>
    </row>
    <row r="18" ht="30.75" customHeight="1" s="75" thickBot="1">
      <c r="A18" s="57" t="n">
        <v>15</v>
      </c>
      <c r="B18" s="58" t="inlineStr">
        <is>
          <t>Unity</t>
        </is>
      </c>
      <c r="C18" s="58" t="n">
        <v>7</v>
      </c>
      <c r="D18" s="58" t="n">
        <v>1</v>
      </c>
      <c r="E18" s="58" t="n">
        <v>2026</v>
      </c>
      <c r="F18" s="59" t="n">
        <v>46204</v>
      </c>
      <c r="G18" s="60" t="n">
        <v>85</v>
      </c>
      <c r="H18" s="39" t="n"/>
      <c r="I18" s="60" t="inlineStr">
        <is>
          <t>CUS0000712</t>
        </is>
      </c>
      <c r="J18" s="62" t="inlineStr">
        <is>
          <t>Nguyễn Thị Ngọc Anh</t>
        </is>
      </c>
      <c r="K18" s="37" t="n"/>
      <c r="L18" s="58" t="n">
        <v>912176322</v>
      </c>
      <c r="M18" s="58" t="inlineStr">
        <is>
          <t>BLMP</t>
        </is>
      </c>
      <c r="N18" s="58" t="inlineStr">
        <is>
          <t>x</t>
        </is>
      </c>
      <c r="O18" s="37" t="n"/>
      <c r="P18" s="40" t="n"/>
      <c r="Q18" s="58" t="inlineStr">
        <is>
          <t>Other</t>
        </is>
      </c>
      <c r="R18" s="64" t="inlineStr">
        <is>
          <t>Other</t>
        </is>
      </c>
      <c r="S18" s="41" t="n"/>
      <c r="T18" s="66" t="inlineStr">
        <is>
          <t>Vinh</t>
        </is>
      </c>
      <c r="U18" s="64" t="n">
        <v>0</v>
      </c>
      <c r="V18" s="37" t="n"/>
      <c r="W18" s="37" t="n"/>
      <c r="X18" s="37" t="n"/>
      <c r="Y18" s="37" t="n"/>
      <c r="Z18" s="42" t="n"/>
      <c r="AA18" s="64" t="n">
        <v>3</v>
      </c>
      <c r="AB18" s="37" t="n"/>
      <c r="AC18" s="58" t="n">
        <v>3</v>
      </c>
      <c r="AD18" s="37" t="n"/>
      <c r="AE18" s="42" t="n"/>
      <c r="AF18" s="58" t="inlineStr">
        <is>
          <t>BLMP</t>
        </is>
      </c>
      <c r="AG18" s="37" t="n"/>
      <c r="AH18" s="37" t="n"/>
      <c r="AI18" s="58" t="inlineStr">
        <is>
          <t>x</t>
        </is>
      </c>
      <c r="AJ18" s="64" t="inlineStr">
        <is>
          <t>Tháng</t>
        </is>
      </c>
      <c r="AK18" s="68" t="n">
        <v>46204</v>
      </c>
      <c r="AL18" s="38" t="n"/>
      <c r="AM18" s="38" t="n"/>
      <c r="AN18" s="59" t="n">
        <v>46177</v>
      </c>
      <c r="AO18" s="59" t="n">
        <v>46177</v>
      </c>
      <c r="AP18" s="38" t="n"/>
      <c r="AQ18" s="38" t="n"/>
      <c r="AR18" s="59" t="n">
        <v>46177</v>
      </c>
      <c r="AS18" s="69" t="inlineStr">
        <is>
          <t>Đã hết hạn 110 ngày rồi</t>
        </is>
      </c>
      <c r="AT18" s="62" t="n">
        <v>90</v>
      </c>
      <c r="AU18" s="62" t="n">
        <v>200</v>
      </c>
      <c r="AV18" s="62" t="n">
        <v>-110</v>
      </c>
      <c r="AW18" s="39" t="n"/>
      <c r="AX18" s="39" t="n"/>
      <c r="AY18" s="38" t="n"/>
      <c r="AZ18" s="64" t="inlineStr">
        <is>
          <t>-</t>
        </is>
      </c>
      <c r="BA18" s="64" t="inlineStr">
        <is>
          <t>-</t>
        </is>
      </c>
      <c r="BB18" s="70" t="inlineStr">
        <is>
          <t>-</t>
        </is>
      </c>
      <c r="BC18" s="70" t="inlineStr">
        <is>
          <t>-</t>
        </is>
      </c>
      <c r="BD18" s="70" t="inlineStr">
        <is>
          <t>-</t>
        </is>
      </c>
      <c r="BE18" s="37" t="n"/>
      <c r="BF18" s="58" t="inlineStr">
        <is>
          <t>-</t>
        </is>
      </c>
      <c r="BG18" s="64" t="inlineStr">
        <is>
          <t>-</t>
        </is>
      </c>
      <c r="BH18" s="64" t="inlineStr">
        <is>
          <t>-</t>
        </is>
      </c>
      <c r="BI18" s="37" t="n"/>
      <c r="BJ18" s="37" t="n"/>
      <c r="BK18" s="37" t="n"/>
      <c r="BL18" s="37" t="n"/>
      <c r="BM18" s="64" t="inlineStr">
        <is>
          <t>-</t>
        </is>
      </c>
      <c r="BN18" s="64" t="inlineStr">
        <is>
          <t>-</t>
        </is>
      </c>
      <c r="BO18" s="71" t="n">
        <v>1</v>
      </c>
      <c r="BP18" s="39" t="n"/>
      <c r="BQ18" s="39" t="n"/>
      <c r="BR18" s="39" t="n"/>
      <c r="BS18" s="39" t="n"/>
      <c r="BT18" s="73" t="inlineStr">
        <is>
          <t>-</t>
        </is>
      </c>
      <c r="BU18" s="58" t="inlineStr">
        <is>
          <t>.</t>
        </is>
      </c>
      <c r="BV18" s="37" t="n"/>
      <c r="BW18" s="37" t="n"/>
      <c r="BX18" s="37" t="n"/>
      <c r="BY18" s="58" t="inlineStr">
        <is>
          <t>x</t>
        </is>
      </c>
      <c r="BZ18" s="65" t="inlineStr">
        <is>
          <t>1,0</t>
        </is>
      </c>
      <c r="CA18" s="58" t="inlineStr">
        <is>
          <t>x</t>
        </is>
      </c>
      <c r="CB18" s="58" t="inlineStr">
        <is>
          <t>x</t>
        </is>
      </c>
      <c r="CC18" s="58" t="inlineStr">
        <is>
          <t>x</t>
        </is>
      </c>
      <c r="CD18" s="58" t="inlineStr">
        <is>
          <t>Đã hết hạn</t>
        </is>
      </c>
      <c r="CE18" s="58" t="inlineStr">
        <is>
          <t>Vinh</t>
        </is>
      </c>
      <c r="CF18" s="74" t="inlineStr">
        <is>
          <t>BLMP3 từ ngày 7/1/2026 đến ngày 6/4/2026</t>
        </is>
      </c>
      <c r="CG18" s="60" t="n">
        <v>1</v>
      </c>
      <c r="CH18" s="39" t="n"/>
      <c r="CI18" s="39" t="n"/>
      <c r="CJ18" s="58" t="inlineStr">
        <is>
          <t>Đã hết hạn</t>
        </is>
      </c>
      <c r="CK18" s="37" t="n"/>
      <c r="CL18" s="37" t="n"/>
      <c r="CM18" s="58" t="n">
        <v>1</v>
      </c>
      <c r="CN18" s="37" t="n"/>
      <c r="CO18" s="58" t="n">
        <v>0</v>
      </c>
      <c r="CP18" s="37" t="n"/>
      <c r="CQ18" s="37" t="n"/>
      <c r="CR18" s="68" t="n">
        <v>46204</v>
      </c>
      <c r="CS18" s="68" t="n">
        <v>46177</v>
      </c>
      <c r="CT18" s="37" t="n"/>
      <c r="CU18" s="37" t="n"/>
      <c r="CV18" s="37" t="n"/>
      <c r="CW18" s="37" t="n"/>
      <c r="CX18" s="37" t="n"/>
      <c r="CY18" s="37" t="n"/>
      <c r="CZ18" s="37" t="n"/>
      <c r="DA18" s="37" t="n"/>
      <c r="DB18" s="37" t="n"/>
      <c r="DC18" s="37" t="n"/>
      <c r="DD18" s="37" t="n"/>
    </row>
    <row r="19" ht="45.75" customHeight="1" s="75" thickBot="1">
      <c r="A19" s="57" t="n">
        <v>16</v>
      </c>
      <c r="B19" s="58" t="inlineStr">
        <is>
          <t>Unity</t>
        </is>
      </c>
      <c r="C19" s="58" t="n">
        <v>8</v>
      </c>
      <c r="D19" s="58" t="n">
        <v>1</v>
      </c>
      <c r="E19" s="58" t="n">
        <v>2026</v>
      </c>
      <c r="F19" s="59" t="n">
        <v>46235</v>
      </c>
      <c r="G19" s="60" t="n">
        <v>85</v>
      </c>
      <c r="H19" s="39" t="n"/>
      <c r="I19" s="60" t="inlineStr">
        <is>
          <t>CUS0002990</t>
        </is>
      </c>
      <c r="J19" s="62" t="inlineStr">
        <is>
          <t>Nguyễn Khoa Tường</t>
        </is>
      </c>
      <c r="K19" s="37" t="n"/>
      <c r="L19" s="58" t="n">
        <v>982476299</v>
      </c>
      <c r="M19" s="58" t="inlineStr">
        <is>
          <t>Voucher01</t>
        </is>
      </c>
      <c r="N19" s="58" t="inlineStr">
        <is>
          <t>Calvin</t>
        </is>
      </c>
      <c r="O19" s="37" t="n"/>
      <c r="P19" s="63" t="inlineStr">
        <is>
          <t>x</t>
        </is>
      </c>
      <c r="Q19" s="58" t="inlineStr">
        <is>
          <t>VVIP</t>
        </is>
      </c>
      <c r="R19" s="64" t="inlineStr">
        <is>
          <t>VVIP</t>
        </is>
      </c>
      <c r="S19" s="65" t="inlineStr">
        <is>
          <t>x</t>
        </is>
      </c>
      <c r="T19" s="66" t="inlineStr">
        <is>
          <t>Ngọc</t>
        </is>
      </c>
      <c r="U19" s="64" t="n">
        <v>0</v>
      </c>
      <c r="V19" s="37" t="n"/>
      <c r="W19" s="37" t="n"/>
      <c r="X19" s="37" t="n"/>
      <c r="Y19" s="37" t="n"/>
      <c r="Z19" s="42" t="n"/>
      <c r="AA19" s="64" t="n">
        <v>1</v>
      </c>
      <c r="AB19" s="58" t="n">
        <v>1</v>
      </c>
      <c r="AC19" s="37" t="n"/>
      <c r="AD19" s="37" t="n"/>
      <c r="AE19" s="42" t="n"/>
      <c r="AF19" s="58" t="inlineStr">
        <is>
          <t>Voucher01</t>
        </is>
      </c>
      <c r="AG19" s="37" t="n"/>
      <c r="AH19" s="37" t="n"/>
      <c r="AI19" s="58" t="inlineStr">
        <is>
          <t>x</t>
        </is>
      </c>
      <c r="AJ19" s="64" t="inlineStr">
        <is>
          <t>1 tháng</t>
        </is>
      </c>
      <c r="AK19" s="68" t="n">
        <v>46235</v>
      </c>
      <c r="AL19" s="38" t="n"/>
      <c r="AM19" s="38" t="n"/>
      <c r="AN19" s="59" t="n">
        <v>46205</v>
      </c>
      <c r="AO19" s="59" t="n">
        <v>46205</v>
      </c>
      <c r="AP19" s="38" t="n"/>
      <c r="AQ19" s="38" t="n"/>
      <c r="AR19" s="59" t="n">
        <v>46205</v>
      </c>
      <c r="AS19" s="69" t="inlineStr">
        <is>
          <t>Đã hết hạn 168 ngày rồi</t>
        </is>
      </c>
      <c r="AT19" s="62" t="n">
        <v>31</v>
      </c>
      <c r="AU19" s="62" t="n">
        <v>199</v>
      </c>
      <c r="AV19" s="62" t="n">
        <v>-168</v>
      </c>
      <c r="AW19" s="39" t="n"/>
      <c r="AX19" s="39" t="n"/>
      <c r="AY19" s="38" t="n"/>
      <c r="AZ19" s="64" t="inlineStr">
        <is>
          <t>-</t>
        </is>
      </c>
      <c r="BA19" s="64" t="inlineStr">
        <is>
          <t>-</t>
        </is>
      </c>
      <c r="BB19" s="70" t="inlineStr">
        <is>
          <t>-</t>
        </is>
      </c>
      <c r="BC19" s="70" t="inlineStr">
        <is>
          <t>-</t>
        </is>
      </c>
      <c r="BD19" s="70" t="inlineStr">
        <is>
          <t>-</t>
        </is>
      </c>
      <c r="BE19" s="37" t="n"/>
      <c r="BF19" s="58" t="inlineStr">
        <is>
          <t>-</t>
        </is>
      </c>
      <c r="BG19" s="64" t="inlineStr">
        <is>
          <t>-</t>
        </is>
      </c>
      <c r="BH19" s="64" t="inlineStr">
        <is>
          <t>-</t>
        </is>
      </c>
      <c r="BI19" s="37" t="n"/>
      <c r="BJ19" s="37" t="n"/>
      <c r="BK19" s="37" t="n"/>
      <c r="BL19" s="37" t="n"/>
      <c r="BM19" s="64" t="inlineStr">
        <is>
          <t>-</t>
        </is>
      </c>
      <c r="BN19" s="64" t="inlineStr">
        <is>
          <t>-</t>
        </is>
      </c>
      <c r="BO19" s="71" t="n">
        <v>1</v>
      </c>
      <c r="BP19" s="39" t="n"/>
      <c r="BQ19" s="39" t="n"/>
      <c r="BR19" s="39" t="n"/>
      <c r="BS19" s="39" t="n"/>
      <c r="BT19" s="73" t="inlineStr">
        <is>
          <t>-</t>
        </is>
      </c>
      <c r="BU19" s="58" t="inlineStr">
        <is>
          <t>.</t>
        </is>
      </c>
      <c r="BV19" s="37" t="n"/>
      <c r="BW19" s="37" t="n"/>
      <c r="BX19" s="37" t="n"/>
      <c r="BY19" s="58" t="inlineStr">
        <is>
          <t>x</t>
        </is>
      </c>
      <c r="BZ19" s="65" t="inlineStr">
        <is>
          <t>1,0</t>
        </is>
      </c>
      <c r="CA19" s="58" t="inlineStr">
        <is>
          <t>x</t>
        </is>
      </c>
      <c r="CB19" s="58" t="inlineStr">
        <is>
          <t>APPT</t>
        </is>
      </c>
      <c r="CC19" s="58" t="inlineStr">
        <is>
          <t>Voucher</t>
        </is>
      </c>
      <c r="CD19" s="58" t="inlineStr">
        <is>
          <t>Đã hết hạn</t>
        </is>
      </c>
      <c r="CE19" s="58" t="inlineStr">
        <is>
          <t>Ngọc</t>
        </is>
      </c>
      <c r="CF19" s="74" t="inlineStr">
        <is>
          <t>BN4102 Thạch Thị Lan tặng voucher 30 ngày cho Nguyễn Khoa Tường</t>
        </is>
      </c>
      <c r="CG19" s="60" t="n">
        <v>1</v>
      </c>
      <c r="CH19" s="39" t="n"/>
      <c r="CI19" s="39" t="n"/>
      <c r="CJ19" s="58" t="inlineStr">
        <is>
          <t>Đã hết hạn</t>
        </is>
      </c>
      <c r="CK19" s="37" t="n"/>
      <c r="CL19" s="37" t="n"/>
      <c r="CM19" s="58" t="n">
        <v>1</v>
      </c>
      <c r="CN19" s="37" t="n"/>
      <c r="CO19" s="58" t="n">
        <v>0</v>
      </c>
      <c r="CP19" s="37" t="n"/>
      <c r="CQ19" s="37" t="n"/>
      <c r="CR19" s="68" t="n">
        <v>46235</v>
      </c>
      <c r="CS19" s="68" t="n">
        <v>46205</v>
      </c>
      <c r="CT19" s="37" t="n"/>
      <c r="CU19" s="37" t="n"/>
      <c r="CV19" s="37" t="n"/>
      <c r="CW19" s="37" t="n"/>
      <c r="CX19" s="37" t="n"/>
      <c r="CY19" s="37" t="n"/>
      <c r="CZ19" s="37" t="n"/>
      <c r="DA19" s="37" t="n"/>
      <c r="DB19" s="37" t="n"/>
      <c r="DC19" s="37" t="n"/>
      <c r="DD19" s="37" t="n"/>
    </row>
    <row r="20" ht="15.75" customHeight="1" s="75" thickBot="1">
      <c r="A20" s="57" t="n">
        <v>17</v>
      </c>
      <c r="B20" s="58" t="inlineStr">
        <is>
          <t>Unity</t>
        </is>
      </c>
      <c r="C20" s="58" t="n">
        <v>8</v>
      </c>
      <c r="D20" s="58" t="n">
        <v>1</v>
      </c>
      <c r="E20" s="58" t="n">
        <v>2026</v>
      </c>
      <c r="F20" s="59" t="n">
        <v>46235</v>
      </c>
      <c r="G20" s="60" t="n">
        <v>85</v>
      </c>
      <c r="H20" s="60" t="n">
        <v>4245</v>
      </c>
      <c r="I20" s="60" t="inlineStr">
        <is>
          <t>CUS0003038</t>
        </is>
      </c>
      <c r="J20" s="62" t="inlineStr">
        <is>
          <t>Nguyễn Phụ Hà</t>
        </is>
      </c>
      <c r="K20" s="37" t="n"/>
      <c r="L20" s="58" t="n">
        <v>989781175</v>
      </c>
      <c r="M20" s="58" t="inlineStr">
        <is>
          <t>GROUP12.4</t>
        </is>
      </c>
      <c r="N20" s="58" t="inlineStr">
        <is>
          <t>Calvin</t>
        </is>
      </c>
      <c r="O20" s="37" t="n"/>
      <c r="P20" s="63" t="inlineStr">
        <is>
          <t>x</t>
        </is>
      </c>
      <c r="Q20" s="58" t="inlineStr">
        <is>
          <t>MBS</t>
        </is>
      </c>
      <c r="R20" s="64" t="inlineStr">
        <is>
          <t>MBS</t>
        </is>
      </c>
      <c r="S20" s="65" t="inlineStr">
        <is>
          <t>x</t>
        </is>
      </c>
      <c r="T20" s="66" t="inlineStr">
        <is>
          <t>CS Linh</t>
        </is>
      </c>
      <c r="U20" s="64" t="n">
        <v>0</v>
      </c>
      <c r="V20" s="37" t="n"/>
      <c r="W20" s="37" t="n"/>
      <c r="X20" s="37" t="n"/>
      <c r="Y20" s="37" t="n"/>
      <c r="Z20" s="42" t="n"/>
      <c r="AA20" s="64" t="n">
        <v>12</v>
      </c>
      <c r="AB20" s="58" t="n">
        <v>12</v>
      </c>
      <c r="AC20" s="37" t="n"/>
      <c r="AD20" s="37" t="n"/>
      <c r="AE20" s="42" t="n"/>
      <c r="AF20" s="58" t="inlineStr">
        <is>
          <t>GROUP12.4</t>
        </is>
      </c>
      <c r="AG20" s="37" t="n"/>
      <c r="AH20" s="37" t="n"/>
      <c r="AI20" s="58" t="inlineStr">
        <is>
          <t>MBS2248</t>
        </is>
      </c>
      <c r="AJ20" s="64" t="inlineStr">
        <is>
          <t>12 tháng</t>
        </is>
      </c>
      <c r="AK20" s="68" t="n">
        <v>46235</v>
      </c>
      <c r="AL20" s="38" t="n"/>
      <c r="AM20" s="38" t="n"/>
      <c r="AN20" s="59" t="n">
        <v>46569</v>
      </c>
      <c r="AO20" s="59" t="n">
        <v>46569</v>
      </c>
      <c r="AP20" s="38" t="n"/>
      <c r="AQ20" s="38" t="n"/>
      <c r="AR20" s="59" t="n">
        <v>46569</v>
      </c>
      <c r="AS20" s="38" t="n"/>
      <c r="AT20" s="62" t="n">
        <v>365</v>
      </c>
      <c r="AU20" s="62" t="n">
        <v>199</v>
      </c>
      <c r="AV20" s="62" t="n">
        <v>166</v>
      </c>
      <c r="AW20" s="62" t="n">
        <v>166</v>
      </c>
      <c r="AX20" s="62" t="inlineStr">
        <is>
          <t>Tặng 1 VOUCHER 1 Tháng</t>
        </is>
      </c>
      <c r="AY20" s="64" t="inlineStr">
        <is>
          <t>22.500.000</t>
        </is>
      </c>
      <c r="AZ20" s="64" t="inlineStr">
        <is>
          <t>-</t>
        </is>
      </c>
      <c r="BA20" s="64" t="inlineStr">
        <is>
          <t>-</t>
        </is>
      </c>
      <c r="BB20" s="70" t="inlineStr">
        <is>
          <t>-</t>
        </is>
      </c>
      <c r="BC20" s="70" t="inlineStr">
        <is>
          <t>-</t>
        </is>
      </c>
      <c r="BD20" s="70" t="inlineStr">
        <is>
          <t>22.500.000</t>
        </is>
      </c>
      <c r="BE20" s="58" t="inlineStr">
        <is>
          <t>45,0%</t>
        </is>
      </c>
      <c r="BF20" s="58" t="inlineStr">
        <is>
          <t>10.125.000</t>
        </is>
      </c>
      <c r="BG20" s="64" t="inlineStr">
        <is>
          <t>12.375.000</t>
        </is>
      </c>
      <c r="BH20" s="64" t="inlineStr">
        <is>
          <t>12.375.000</t>
        </is>
      </c>
      <c r="BI20" s="37" t="n"/>
      <c r="BJ20" s="37" t="n"/>
      <c r="BK20" s="37" t="n"/>
      <c r="BL20" s="37" t="n"/>
      <c r="BM20" s="64" t="inlineStr">
        <is>
          <t>-</t>
        </is>
      </c>
      <c r="BN20" s="64" t="inlineStr">
        <is>
          <t>-</t>
        </is>
      </c>
      <c r="BO20" s="71" t="n">
        <v>1</v>
      </c>
      <c r="BP20" s="39" t="n"/>
      <c r="BQ20" s="39" t="n"/>
      <c r="BR20" s="72" t="inlineStr">
        <is>
          <t>12.375.000</t>
        </is>
      </c>
      <c r="BS20" s="39" t="n"/>
      <c r="BT20" s="73" t="inlineStr">
        <is>
          <t>12.375.000</t>
        </is>
      </c>
      <c r="BU20" s="58" t="inlineStr">
        <is>
          <t>CK</t>
        </is>
      </c>
      <c r="BV20" s="37" t="n"/>
      <c r="BW20" s="37" t="n"/>
      <c r="BX20" s="37" t="n"/>
      <c r="BY20" s="58" t="inlineStr">
        <is>
          <t>Thanh toán đủ</t>
        </is>
      </c>
      <c r="BZ20" s="65" t="inlineStr">
        <is>
          <t>1,0</t>
        </is>
      </c>
      <c r="CA20" s="58" t="inlineStr">
        <is>
          <t>Mới</t>
        </is>
      </c>
      <c r="CB20" s="58" t="inlineStr">
        <is>
          <t>APPT</t>
        </is>
      </c>
      <c r="CC20" s="58" t="inlineStr">
        <is>
          <t>RF</t>
        </is>
      </c>
      <c r="CD20" s="58" t="inlineStr">
        <is>
          <t>Đang hoạt động</t>
        </is>
      </c>
      <c r="CE20" s="58" t="inlineStr">
        <is>
          <t>CS Linh</t>
        </is>
      </c>
      <c r="CF20" s="37" t="n"/>
      <c r="CG20" s="60" t="n">
        <v>1</v>
      </c>
      <c r="CH20" s="78" t="inlineStr">
        <is>
          <t>Đã KH</t>
        </is>
      </c>
      <c r="CI20" s="39" t="n"/>
      <c r="CJ20" s="37" t="n"/>
      <c r="CK20" s="58" t="inlineStr">
        <is>
          <t>Đang hoạt động</t>
        </is>
      </c>
      <c r="CL20" s="58" t="n">
        <v>1</v>
      </c>
      <c r="CM20" s="37" t="n"/>
      <c r="CN20" s="37" t="n"/>
      <c r="CO20" s="58" t="n">
        <v>0</v>
      </c>
      <c r="CP20" s="58" t="n">
        <v>4245</v>
      </c>
      <c r="CQ20" s="37" t="n"/>
      <c r="CR20" s="68" t="n">
        <v>46235</v>
      </c>
      <c r="CS20" s="68" t="n">
        <v>46569</v>
      </c>
      <c r="CT20" s="37" t="n"/>
      <c r="CU20" s="37" t="n"/>
      <c r="CV20" s="37" t="n"/>
      <c r="CW20" s="37" t="n"/>
      <c r="CX20" s="37" t="n"/>
      <c r="CY20" s="37" t="n"/>
      <c r="CZ20" s="37" t="n"/>
      <c r="DA20" s="37" t="n"/>
      <c r="DB20" s="37" t="n"/>
      <c r="DC20" s="37" t="n"/>
      <c r="DD20" s="37" t="n"/>
    </row>
    <row r="21" ht="45.75" customHeight="1" s="75" thickBot="1">
      <c r="A21" s="57" t="n">
        <v>18</v>
      </c>
      <c r="B21" s="58" t="inlineStr">
        <is>
          <t>Unity</t>
        </is>
      </c>
      <c r="C21" s="58" t="n">
        <v>9</v>
      </c>
      <c r="D21" s="58" t="n">
        <v>1</v>
      </c>
      <c r="E21" s="58" t="n">
        <v>2026</v>
      </c>
      <c r="F21" s="59" t="n">
        <v>46266</v>
      </c>
      <c r="G21" s="60" t="n">
        <v>85</v>
      </c>
      <c r="H21" s="39" t="n"/>
      <c r="I21" s="60" t="inlineStr">
        <is>
          <t>CUS0002991</t>
        </is>
      </c>
      <c r="J21" s="62" t="inlineStr">
        <is>
          <t>Nguyễn Khoa Huy</t>
        </is>
      </c>
      <c r="K21" s="37" t="n"/>
      <c r="L21" s="58" t="n">
        <v>977516848</v>
      </c>
      <c r="M21" s="58" t="inlineStr">
        <is>
          <t>Voucher01</t>
        </is>
      </c>
      <c r="N21" s="58" t="inlineStr">
        <is>
          <t>Calvin</t>
        </is>
      </c>
      <c r="O21" s="37" t="n"/>
      <c r="P21" s="63" t="inlineStr">
        <is>
          <t>x</t>
        </is>
      </c>
      <c r="Q21" s="58" t="inlineStr">
        <is>
          <t>VVIP</t>
        </is>
      </c>
      <c r="R21" s="64" t="inlineStr">
        <is>
          <t>VVIP</t>
        </is>
      </c>
      <c r="S21" s="65" t="inlineStr">
        <is>
          <t>x</t>
        </is>
      </c>
      <c r="T21" s="66" t="inlineStr">
        <is>
          <t>Ngọc</t>
        </is>
      </c>
      <c r="U21" s="64" t="n">
        <v>0</v>
      </c>
      <c r="V21" s="37" t="n"/>
      <c r="W21" s="37" t="n"/>
      <c r="X21" s="37" t="n"/>
      <c r="Y21" s="37" t="n"/>
      <c r="Z21" s="42" t="n"/>
      <c r="AA21" s="64" t="n">
        <v>1</v>
      </c>
      <c r="AB21" s="58" t="n">
        <v>1</v>
      </c>
      <c r="AC21" s="37" t="n"/>
      <c r="AD21" s="37" t="n"/>
      <c r="AE21" s="42" t="n"/>
      <c r="AF21" s="58" t="inlineStr">
        <is>
          <t>Voucher01</t>
        </is>
      </c>
      <c r="AG21" s="37" t="n"/>
      <c r="AH21" s="37" t="n"/>
      <c r="AI21" s="58" t="inlineStr">
        <is>
          <t>x</t>
        </is>
      </c>
      <c r="AJ21" s="64" t="inlineStr">
        <is>
          <t>1 tháng</t>
        </is>
      </c>
      <c r="AK21" s="68" t="n">
        <v>46266</v>
      </c>
      <c r="AL21" s="38" t="n"/>
      <c r="AM21" s="38" t="n"/>
      <c r="AN21" s="59" t="n">
        <v>46236</v>
      </c>
      <c r="AO21" s="59" t="n">
        <v>46236</v>
      </c>
      <c r="AP21" s="38" t="n"/>
      <c r="AQ21" s="38" t="n"/>
      <c r="AR21" s="59" t="n">
        <v>46236</v>
      </c>
      <c r="AS21" s="69" t="inlineStr">
        <is>
          <t>Đã hết hạn 167 ngày rồi</t>
        </is>
      </c>
      <c r="AT21" s="62" t="n">
        <v>31</v>
      </c>
      <c r="AU21" s="62" t="n">
        <v>198</v>
      </c>
      <c r="AV21" s="62" t="n">
        <v>-167</v>
      </c>
      <c r="AW21" s="39" t="n"/>
      <c r="AX21" s="39" t="n"/>
      <c r="AY21" s="38" t="n"/>
      <c r="AZ21" s="64" t="inlineStr">
        <is>
          <t>-</t>
        </is>
      </c>
      <c r="BA21" s="64" t="inlineStr">
        <is>
          <t>-</t>
        </is>
      </c>
      <c r="BB21" s="70" t="inlineStr">
        <is>
          <t>-</t>
        </is>
      </c>
      <c r="BC21" s="70" t="inlineStr">
        <is>
          <t>-</t>
        </is>
      </c>
      <c r="BD21" s="70" t="inlineStr">
        <is>
          <t>-</t>
        </is>
      </c>
      <c r="BE21" s="37" t="n"/>
      <c r="BF21" s="58" t="inlineStr">
        <is>
          <t>-</t>
        </is>
      </c>
      <c r="BG21" s="64" t="inlineStr">
        <is>
          <t>-</t>
        </is>
      </c>
      <c r="BH21" s="64" t="inlineStr">
        <is>
          <t>-</t>
        </is>
      </c>
      <c r="BI21" s="37" t="n"/>
      <c r="BJ21" s="37" t="n"/>
      <c r="BK21" s="37" t="n"/>
      <c r="BL21" s="37" t="n"/>
      <c r="BM21" s="64" t="inlineStr">
        <is>
          <t>-</t>
        </is>
      </c>
      <c r="BN21" s="64" t="inlineStr">
        <is>
          <t>-</t>
        </is>
      </c>
      <c r="BO21" s="71" t="n">
        <v>1</v>
      </c>
      <c r="BP21" s="39" t="n"/>
      <c r="BQ21" s="39" t="n"/>
      <c r="BR21" s="39" t="n"/>
      <c r="BS21" s="39" t="n"/>
      <c r="BT21" s="73" t="inlineStr">
        <is>
          <t>-</t>
        </is>
      </c>
      <c r="BU21" s="58" t="inlineStr">
        <is>
          <t>.</t>
        </is>
      </c>
      <c r="BV21" s="37" t="n"/>
      <c r="BW21" s="37" t="n"/>
      <c r="BX21" s="37" t="n"/>
      <c r="BY21" s="58" t="inlineStr">
        <is>
          <t>x</t>
        </is>
      </c>
      <c r="BZ21" s="65" t="inlineStr">
        <is>
          <t>1,0</t>
        </is>
      </c>
      <c r="CA21" s="58" t="inlineStr">
        <is>
          <t>x</t>
        </is>
      </c>
      <c r="CB21" s="58" t="inlineStr">
        <is>
          <t>APPT</t>
        </is>
      </c>
      <c r="CC21" s="58" t="inlineStr">
        <is>
          <t>Voucher</t>
        </is>
      </c>
      <c r="CD21" s="58" t="inlineStr">
        <is>
          <t>Đã hết hạn</t>
        </is>
      </c>
      <c r="CE21" s="58" t="inlineStr">
        <is>
          <t>Ngọc</t>
        </is>
      </c>
      <c r="CF21" s="74" t="inlineStr">
        <is>
          <t>BN4101 Thạch Thị Xuân tặng voucher 30 ngày cho Nguyễn Khoa Huy</t>
        </is>
      </c>
      <c r="CG21" s="60" t="n">
        <v>1</v>
      </c>
      <c r="CH21" s="39" t="n"/>
      <c r="CI21" s="39" t="n"/>
      <c r="CJ21" s="58" t="inlineStr">
        <is>
          <t>Đã hết hạn</t>
        </is>
      </c>
      <c r="CK21" s="37" t="n"/>
      <c r="CL21" s="37" t="n"/>
      <c r="CM21" s="58" t="n">
        <v>1</v>
      </c>
      <c r="CN21" s="37" t="n"/>
      <c r="CO21" s="58" t="n">
        <v>0</v>
      </c>
      <c r="CP21" s="37" t="n"/>
      <c r="CQ21" s="37" t="n"/>
      <c r="CR21" s="68" t="n">
        <v>46266</v>
      </c>
      <c r="CS21" s="68" t="n">
        <v>46236</v>
      </c>
      <c r="CT21" s="37" t="n"/>
      <c r="CU21" s="37" t="n"/>
      <c r="CV21" s="37" t="n"/>
      <c r="CW21" s="37" t="n"/>
      <c r="CX21" s="37" t="n"/>
      <c r="CY21" s="37" t="n"/>
      <c r="CZ21" s="37" t="n"/>
      <c r="DA21" s="37" t="n"/>
      <c r="DB21" s="37" t="n"/>
      <c r="DC21" s="37" t="n"/>
      <c r="DD21" s="37" t="n"/>
    </row>
    <row r="22">
      <c r="A22" t="n">
        <v>19</v>
      </c>
      <c r="B22" t="inlineStr">
        <is>
          <t>2</t>
        </is>
      </c>
      <c r="C22" t="n">
        <v>1</v>
      </c>
      <c r="D22" t="n">
        <v>2026</v>
      </c>
      <c r="E22" t="inlineStr">
        <is>
          <t>2026-02-01T00:00:00</t>
        </is>
      </c>
      <c r="F22" t="inlineStr">
        <is>
          <t>85</t>
        </is>
      </c>
      <c r="G22" t="n">
        <v>4239</v>
      </c>
      <c r="H22" t="inlineStr">
        <is>
          <t>CUS0001310</t>
        </is>
      </c>
      <c r="I22" t="inlineStr">
        <is>
          <t>Nguyen duy hieu</t>
        </is>
      </c>
      <c r="J22" t="inlineStr"/>
      <c r="K22" t="inlineStr">
        <is>
          <t>0396912899</t>
        </is>
      </c>
      <c r="L22" t="inlineStr">
        <is>
          <t>BL</t>
        </is>
      </c>
      <c r="M22" t="inlineStr">
        <is>
          <t>Other</t>
        </is>
      </c>
      <c r="N22" t="inlineStr">
        <is>
          <t>x</t>
        </is>
      </c>
      <c r="O22" t="inlineStr">
        <is>
          <t>xxx</t>
        </is>
      </c>
      <c r="P22" t="inlineStr">
        <is>
          <t>Other</t>
        </is>
      </c>
      <c r="Q22" t="inlineStr">
        <is>
          <t>Other</t>
        </is>
      </c>
      <c r="R22" t="inlineStr">
        <is>
          <t>xxx</t>
        </is>
      </c>
      <c r="S22" t="inlineStr">
        <is>
          <t>CS Linh</t>
        </is>
      </c>
      <c r="T22" t="inlineStr">
        <is>
          <t>0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2026-02-01 00:00:00</t>
        </is>
      </c>
      <c r="AH22" t="inlineStr">
        <is>
          <t>2026-01-02 00:00:00</t>
        </is>
      </c>
      <c r="AI22" t="inlineStr">
        <is>
          <t>Đã hết hạn 174 ngày rồi</t>
        </is>
      </c>
      <c r="AJ22" t="inlineStr">
        <is>
          <t>31</t>
        </is>
      </c>
      <c r="AK22" t="inlineStr">
        <is>
          <t>205</t>
        </is>
      </c>
      <c r="AL22" t="inlineStr">
        <is>
          <t>-174</t>
        </is>
      </c>
      <c r="AR22" t="inlineStr">
        <is>
          <t>-</t>
        </is>
      </c>
      <c r="AS22" t="inlineStr">
        <is>
          <t>-</t>
        </is>
      </c>
      <c r="AT22" t="n">
        <v>200</v>
      </c>
      <c r="AU22" t="n">
        <v>0</v>
      </c>
      <c r="AW22" t="n">
        <v>200</v>
      </c>
      <c r="AX22" t="inlineStr">
        <is>
          <t>200</t>
        </is>
      </c>
      <c r="AY22" t="n">
        <v>0</v>
      </c>
      <c r="AZ22" t="n">
        <v>0</v>
      </c>
      <c r="BA22" t="n">
        <v>1</v>
      </c>
      <c r="BD22" t="n">
        <v>200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x</t>
        </is>
      </c>
      <c r="BJ22" t="inlineStr">
        <is>
          <t>x</t>
        </is>
      </c>
      <c r="BK22" t="inlineStr">
        <is>
          <t>Đã hết hạn</t>
        </is>
      </c>
      <c r="BL22" t="inlineStr">
        <is>
          <t>CS Linh</t>
        </is>
      </c>
      <c r="BM22" t="inlineStr">
        <is>
          <t>BL1 từ ngày 2/1/2026 đến ngày 1/2/2026</t>
        </is>
      </c>
      <c r="BN22" t="inlineStr">
        <is>
          <t>1</t>
        </is>
      </c>
      <c r="BO22" t="n">
        <v>0</v>
      </c>
      <c r="BP22" t="inlineStr">
        <is>
          <t>1</t>
        </is>
      </c>
      <c r="BQ22" t="inlineStr"/>
      <c r="BR22" t="inlineStr">
        <is>
          <t>0</t>
        </is>
      </c>
      <c r="BS22" t="inlineStr">
        <is>
          <t>4239</t>
        </is>
      </c>
      <c r="BT22" t="inlineStr"/>
      <c r="BU22" t="inlineStr">
        <is>
          <t>2026-02-01 00:00:00</t>
        </is>
      </c>
      <c r="BV22" t="inlineStr">
        <is>
          <t>2026-01-02 00:00:00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E22" t="inlineStr"/>
      <c r="CF22" t="inlineStr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C9" sqref="C9:C13"/>
    </sheetView>
  </sheetViews>
  <sheetFormatPr baseColWidth="8" defaultRowHeight="15"/>
  <cols>
    <col width="5" bestFit="1" customWidth="1" style="75" min="1" max="1"/>
    <col width="6.140625" bestFit="1" customWidth="1" style="75" min="2" max="2"/>
    <col width="89.28515625" bestFit="1" customWidth="1" style="75" min="3" max="3"/>
    <col width="20.140625" bestFit="1" customWidth="1" style="75" min="4" max="5"/>
    <col width="8.42578125" bestFit="1" customWidth="1" style="75" min="6" max="6"/>
    <col width="8.5703125" bestFit="1" customWidth="1" style="75" min="7" max="8"/>
    <col width="15.85546875" bestFit="1" customWidth="1" style="75" min="9" max="9"/>
    <col width="24.7109375" bestFit="1" customWidth="1" style="75" min="10" max="10"/>
    <col width="11.28515625" bestFit="1" customWidth="1" style="75" min="11" max="11"/>
    <col width="12.28515625" bestFit="1" customWidth="1" style="75" min="12" max="12"/>
    <col width="25.28515625" bestFit="1" customWidth="1" style="75" min="13" max="13"/>
    <col width="5" bestFit="1" customWidth="1" style="75" min="14" max="14"/>
    <col width="33.42578125" bestFit="1" customWidth="1" style="75" min="15" max="15"/>
    <col width="10" bestFit="1" customWidth="1" style="75" min="17" max="17"/>
    <col width="8.5703125" bestFit="1" customWidth="1" style="75" min="18" max="18"/>
  </cols>
  <sheetData>
    <row r="1">
      <c r="A1" s="3">
        <f>IFERROR(__xludf.DUMMYFUNCTION("IMPORTRANGE(""1ZDSB26VWt46gFewOoWjQAndoJJ9Gt6gve_JIx75wpuM"",""BG!a:r"")"),"")</f>
        <v/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</row>
    <row r="2" ht="57" customHeight="1" s="75">
      <c r="A2" s="5">
        <f>IFERROR(__xludf.DUMMYFUNCTION("""COMPUTED_VALUE"""),"STT")</f>
        <v/>
      </c>
      <c r="B2" s="5">
        <f>IFERROR(__xludf.DUMMYFUNCTION("""COMPUTED_VALUE"""),"CLB")</f>
        <v/>
      </c>
      <c r="C2" s="5">
        <f>IFERROR(__xludf.DUMMYFUNCTION("""COMPUTED_VALUE"""),"Loại thẻ")</f>
        <v/>
      </c>
      <c r="D2" s="5">
        <f>IFERROR(__xludf.DUMMYFUNCTION("""COMPUTED_VALUE"""),"Mã quản lý")</f>
        <v/>
      </c>
      <c r="E2" s="5">
        <f>IFERROR(__xludf.DUMMYFUNCTION("""COMPUTED_VALUE"""),"Mã quản lý")</f>
        <v/>
      </c>
      <c r="F2" s="5">
        <f>IFERROR(__xludf.DUMMYFUNCTION("""COMPUTED_VALUE"""),"Phân bổ")</f>
        <v/>
      </c>
      <c r="G2" s="5">
        <f>IFERROR(__xludf.DUMMYFUNCTION("""COMPUTED_VALUE"""),"Mã loại thẻ theo Taget")</f>
        <v/>
      </c>
      <c r="H2" s="5">
        <f>IFERROR(__xludf.DUMMYFUNCTION("""COMPUTED_VALUE"""),"Mã loại thẻ sử dụng lọc PT")</f>
        <v/>
      </c>
      <c r="I2" s="5">
        <f>IFERROR(__xludf.DUMMYFUNCTION("""COMPUTED_VALUE"""),"Thời gian (tháng)")</f>
        <v/>
      </c>
      <c r="J2" s="5">
        <f>IFERROR(__xludf.DUMMYFUNCTION("""COMPUTED_VALUE"""),"Thời gian (tháng)")</f>
        <v/>
      </c>
      <c r="K2" s="5">
        <f>IFERROR(__xludf.DUMMYFUNCTION("""COMPUTED_VALUE"""),"Giá niêm yết/người/buổi tập")</f>
        <v/>
      </c>
      <c r="L2" s="5">
        <f>IFERROR(__xludf.DUMMYFUNCTION("""COMPUTED_VALUE"""),"Giá niêm yết/1 gia đình")</f>
        <v/>
      </c>
      <c r="M2" s="5">
        <f>IFERROR(__xludf.DUMMYFUNCTION("""COMPUTED_VALUE"""),"Ghi chú")</f>
        <v/>
      </c>
      <c r="N2" s="5">
        <f>IFERROR(__xludf.DUMMYFUNCTION("""COMPUTED_VALUE"""),"STT")</f>
        <v/>
      </c>
      <c r="O2" s="5" t="n"/>
      <c r="P2" s="5">
        <f>IFERROR(__xludf.DUMMYFUNCTION("""COMPUTED_VALUE"""),"Số lượng")</f>
        <v/>
      </c>
      <c r="Q2" s="5">
        <f>IFERROR(__xludf.DUMMYFUNCTION("""COMPUTED_VALUE"""),"Đơn giá")</f>
        <v/>
      </c>
      <c r="R2" s="5">
        <f>IFERROR(__xludf.DUMMYFUNCTION("""COMPUTED_VALUE"""),"Đơn giá")</f>
        <v/>
      </c>
    </row>
    <row r="3">
      <c r="A3" s="6">
        <f>IFERROR(__xludf.DUMMYFUNCTION("""COMPUTED_VALUE"""),".")</f>
        <v/>
      </c>
      <c r="B3" s="6" t="n"/>
      <c r="C3" s="6">
        <f>IFERROR(__xludf.DUMMYFUNCTION("""COMPUTED_VALUE"""),".")</f>
        <v/>
      </c>
      <c r="D3" s="6">
        <f>IFERROR(__xludf.DUMMYFUNCTION("""COMPUTED_VALUE"""),".")</f>
        <v/>
      </c>
      <c r="E3" s="6">
        <f>IFERROR(__xludf.DUMMYFUNCTION("""COMPUTED_VALUE"""),".")</f>
        <v/>
      </c>
      <c r="F3" s="6">
        <f>IFERROR(__xludf.DUMMYFUNCTION("""COMPUTED_VALUE"""),".")</f>
        <v/>
      </c>
      <c r="G3" s="6">
        <f>IFERROR(__xludf.DUMMYFUNCTION("""COMPUTED_VALUE"""),".")</f>
        <v/>
      </c>
      <c r="H3" s="6">
        <f>IFERROR(__xludf.DUMMYFUNCTION("""COMPUTED_VALUE"""),".")</f>
        <v/>
      </c>
      <c r="I3" s="6">
        <f>IFERROR(__xludf.DUMMYFUNCTION("""COMPUTED_VALUE"""),".")</f>
        <v/>
      </c>
      <c r="J3" s="6">
        <f>IFERROR(__xludf.DUMMYFUNCTION("""COMPUTED_VALUE"""),".")</f>
        <v/>
      </c>
      <c r="K3" s="6">
        <f>IFERROR(__xludf.DUMMYFUNCTION("""COMPUTED_VALUE"""),".")</f>
        <v/>
      </c>
      <c r="L3" s="6">
        <f>IFERROR(__xludf.DUMMYFUNCTION("""COMPUTED_VALUE"""),".")</f>
        <v/>
      </c>
      <c r="M3" s="6">
        <f>IFERROR(__xludf.DUMMYFUNCTION("""COMPUTED_VALUE"""),".")</f>
        <v/>
      </c>
      <c r="N3" s="6" t="n"/>
      <c r="O3" s="6" t="n"/>
      <c r="P3" s="6" t="n"/>
      <c r="Q3" s="6" t="n"/>
      <c r="R3" s="6" t="n"/>
    </row>
    <row r="4">
      <c r="A4" s="7">
        <f>IFERROR(__xludf.DUMMYFUNCTION("""COMPUTED_VALUE"""),1)</f>
        <v/>
      </c>
      <c r="B4" s="8">
        <f>IFERROR(__xludf.DUMMYFUNCTION("""COMPUTED_VALUE"""),"Unity")</f>
        <v/>
      </c>
      <c r="C4" s="51">
        <f>IFERROR(__xludf.DUMMYFUNCTION("""COMPUTED_VALUE"""),"Thẻ Gold: Sử dụng dịch vụ Fitness (phòng gym, lớp group X) và Bể bơi, locker, phòng xông hơi, bể sục")</f>
        <v/>
      </c>
      <c r="D4" s="8" t="n"/>
      <c r="E4" s="8">
        <f>IFERROR(__xludf.DUMMYFUNCTION("""COMPUTED_VALUE"""),"UG24")</f>
        <v/>
      </c>
      <c r="F4" s="2">
        <f>IFERROR(__xludf.DUMMYFUNCTION("""COMPUTED_VALUE"""),"x")</f>
        <v/>
      </c>
      <c r="G4" s="8">
        <f>IFERROR(__xludf.DUMMYFUNCTION("""COMPUTED_VALUE"""),"MBS")</f>
        <v/>
      </c>
      <c r="H4" s="8">
        <f>IFERROR(__xludf.DUMMYFUNCTION("""COMPUTED_VALUE"""),"MBS")</f>
        <v/>
      </c>
      <c r="I4" s="9">
        <f>IFERROR(__xludf.DUMMYFUNCTION("""COMPUTED_VALUE"""),"24 tháng")</f>
        <v/>
      </c>
      <c r="J4" s="9">
        <f>IFERROR(__xludf.DUMMYFUNCTION("""COMPUTED_VALUE"""),"24 tháng")</f>
        <v/>
      </c>
      <c r="K4" s="43">
        <f>IFERROR(__xludf.DUMMYFUNCTION("""COMPUTED_VALUE"""),34500000)</f>
        <v/>
      </c>
      <c r="L4" s="44" t="n"/>
      <c r="M4" s="2">
        <f>IFERROR(__xludf.DUMMYFUNCTION("""COMPUTED_VALUE"""),"Ngưng SD")</f>
        <v/>
      </c>
      <c r="N4" s="2">
        <f>IFERROR(__xludf.DUMMYFUNCTION("""COMPUTED_VALUE"""),1)</f>
        <v/>
      </c>
      <c r="O4" s="10">
        <f>IFERROR(__xludf.DUMMYFUNCTION("""COMPUTED_VALUE"""),"Gội đầu dầu thường")</f>
        <v/>
      </c>
      <c r="P4" s="2">
        <f>IFERROR(__xludf.DUMMYFUNCTION("""COMPUTED_VALUE"""),1)</f>
        <v/>
      </c>
      <c r="Q4" s="45">
        <f>IFERROR(__xludf.DUMMYFUNCTION("""COMPUTED_VALUE"""),50000)</f>
        <v/>
      </c>
      <c r="R4" s="45">
        <f>IFERROR(__xludf.DUMMYFUNCTION("""COMPUTED_VALUE"""),50000)</f>
        <v/>
      </c>
    </row>
    <row r="5">
      <c r="A5" s="7">
        <f>IFERROR(__xludf.DUMMYFUNCTION("""COMPUTED_VALUE"""),2)</f>
        <v/>
      </c>
      <c r="B5" s="8">
        <f>IFERROR(__xludf.DUMMYFUNCTION("""COMPUTED_VALUE"""),"Unity")</f>
        <v/>
      </c>
      <c r="C5" s="52" t="n"/>
      <c r="D5" s="8" t="n"/>
      <c r="E5" s="8">
        <f>IFERROR(__xludf.DUMMYFUNCTION("""COMPUTED_VALUE"""),"UG12")</f>
        <v/>
      </c>
      <c r="F5" s="2">
        <f>IFERROR(__xludf.DUMMYFUNCTION("""COMPUTED_VALUE"""),"x")</f>
        <v/>
      </c>
      <c r="G5" s="8">
        <f>IFERROR(__xludf.DUMMYFUNCTION("""COMPUTED_VALUE"""),"MBS")</f>
        <v/>
      </c>
      <c r="H5" s="8">
        <f>IFERROR(__xludf.DUMMYFUNCTION("""COMPUTED_VALUE"""),"MBS")</f>
        <v/>
      </c>
      <c r="I5" s="9">
        <f>IFERROR(__xludf.DUMMYFUNCTION("""COMPUTED_VALUE"""),"12 tháng")</f>
        <v/>
      </c>
      <c r="J5" s="9">
        <f>IFERROR(__xludf.DUMMYFUNCTION("""COMPUTED_VALUE"""),"12 tháng")</f>
        <v/>
      </c>
      <c r="K5" s="43">
        <f>IFERROR(__xludf.DUMMYFUNCTION("""COMPUTED_VALUE"""),22200000)</f>
        <v/>
      </c>
      <c r="L5" s="43" t="n"/>
      <c r="M5" s="2">
        <f>IFERROR(__xludf.DUMMYFUNCTION("""COMPUTED_VALUE"""),"Ngưng SD")</f>
        <v/>
      </c>
      <c r="N5" s="2">
        <f>IFERROR(__xludf.DUMMYFUNCTION("""COMPUTED_VALUE"""),2)</f>
        <v/>
      </c>
      <c r="O5" s="10">
        <f>IFERROR(__xludf.DUMMYFUNCTION("""COMPUTED_VALUE"""),"Gội đầu dầu cặp")</f>
        <v/>
      </c>
      <c r="P5" s="2">
        <f>IFERROR(__xludf.DUMMYFUNCTION("""COMPUTED_VALUE"""),1)</f>
        <v/>
      </c>
      <c r="Q5" s="45">
        <f>IFERROR(__xludf.DUMMYFUNCTION("""COMPUTED_VALUE"""),80000)</f>
        <v/>
      </c>
      <c r="R5" s="45">
        <f>IFERROR(__xludf.DUMMYFUNCTION("""COMPUTED_VALUE"""),80000)</f>
        <v/>
      </c>
    </row>
    <row r="6">
      <c r="A6" s="7">
        <f>IFERROR(__xludf.DUMMYFUNCTION("""COMPUTED_VALUE"""),3)</f>
        <v/>
      </c>
      <c r="B6" s="8">
        <f>IFERROR(__xludf.DUMMYFUNCTION("""COMPUTED_VALUE"""),"Unity")</f>
        <v/>
      </c>
      <c r="C6" s="52" t="n"/>
      <c r="D6" s="8" t="n"/>
      <c r="E6" s="8">
        <f>IFERROR(__xludf.DUMMYFUNCTION("""COMPUTED_VALUE"""),"UG06")</f>
        <v/>
      </c>
      <c r="F6" s="2">
        <f>IFERROR(__xludf.DUMMYFUNCTION("""COMPUTED_VALUE"""),"x")</f>
        <v/>
      </c>
      <c r="G6" s="8">
        <f>IFERROR(__xludf.DUMMYFUNCTION("""COMPUTED_VALUE"""),"MBS")</f>
        <v/>
      </c>
      <c r="H6" s="8">
        <f>IFERROR(__xludf.DUMMYFUNCTION("""COMPUTED_VALUE"""),"MBS")</f>
        <v/>
      </c>
      <c r="I6" s="9">
        <f>IFERROR(__xludf.DUMMYFUNCTION("""COMPUTED_VALUE"""),"6 tháng")</f>
        <v/>
      </c>
      <c r="J6" s="9">
        <f>IFERROR(__xludf.DUMMYFUNCTION("""COMPUTED_VALUE"""),"6 tháng")</f>
        <v/>
      </c>
      <c r="K6" s="43">
        <f>IFERROR(__xludf.DUMMYFUNCTION("""COMPUTED_VALUE"""),13500000)</f>
        <v/>
      </c>
      <c r="L6" s="43" t="n"/>
      <c r="M6" s="2">
        <f>IFERROR(__xludf.DUMMYFUNCTION("""COMPUTED_VALUE"""),"Ngưng SD")</f>
        <v/>
      </c>
      <c r="N6" s="2">
        <f>IFERROR(__xludf.DUMMYFUNCTION("""COMPUTED_VALUE"""),3)</f>
        <v/>
      </c>
      <c r="O6" s="10">
        <f>IFERROR(__xludf.DUMMYFUNCTION("""COMPUTED_VALUE"""),"Rửa mặt, tẩy da chết")</f>
        <v/>
      </c>
      <c r="P6" s="2">
        <f>IFERROR(__xludf.DUMMYFUNCTION("""COMPUTED_VALUE"""),1)</f>
        <v/>
      </c>
      <c r="Q6" s="45">
        <f>IFERROR(__xludf.DUMMYFUNCTION("""COMPUTED_VALUE"""),50000)</f>
        <v/>
      </c>
      <c r="R6" s="45">
        <f>IFERROR(__xludf.DUMMYFUNCTION("""COMPUTED_VALUE"""),50000)</f>
        <v/>
      </c>
    </row>
    <row r="7">
      <c r="A7" s="7">
        <f>IFERROR(__xludf.DUMMYFUNCTION("""COMPUTED_VALUE"""),4)</f>
        <v/>
      </c>
      <c r="B7" s="8">
        <f>IFERROR(__xludf.DUMMYFUNCTION("""COMPUTED_VALUE"""),"Unity")</f>
        <v/>
      </c>
      <c r="C7" s="52" t="n"/>
      <c r="D7" s="8" t="n"/>
      <c r="E7" s="8">
        <f>IFERROR(__xludf.DUMMYFUNCTION("""COMPUTED_VALUE"""),"UG03")</f>
        <v/>
      </c>
      <c r="F7" s="2">
        <f>IFERROR(__xludf.DUMMYFUNCTION("""COMPUTED_VALUE"""),"x")</f>
        <v/>
      </c>
      <c r="G7" s="8">
        <f>IFERROR(__xludf.DUMMYFUNCTION("""COMPUTED_VALUE"""),"MBS")</f>
        <v/>
      </c>
      <c r="H7" s="8">
        <f>IFERROR(__xludf.DUMMYFUNCTION("""COMPUTED_VALUE"""),"MBS")</f>
        <v/>
      </c>
      <c r="I7" s="9">
        <f>IFERROR(__xludf.DUMMYFUNCTION("""COMPUTED_VALUE"""),"3 tháng")</f>
        <v/>
      </c>
      <c r="J7" s="9">
        <f>IFERROR(__xludf.DUMMYFUNCTION("""COMPUTED_VALUE"""),"3 tháng")</f>
        <v/>
      </c>
      <c r="K7" s="43">
        <f>IFERROR(__xludf.DUMMYFUNCTION("""COMPUTED_VALUE"""),7200000)</f>
        <v/>
      </c>
      <c r="L7" s="43" t="n"/>
      <c r="M7" s="2">
        <f>IFERROR(__xludf.DUMMYFUNCTION("""COMPUTED_VALUE"""),"Ngưng SD")</f>
        <v/>
      </c>
      <c r="N7" s="2">
        <f>IFERROR(__xludf.DUMMYFUNCTION("""COMPUTED_VALUE"""),4)</f>
        <v/>
      </c>
      <c r="O7" s="11">
        <f>IFERROR(__xludf.DUMMYFUNCTION("""COMPUTED_VALUE"""),"Xông mặt, massage mặt")</f>
        <v/>
      </c>
      <c r="P7" s="2">
        <f>IFERROR(__xludf.DUMMYFUNCTION("""COMPUTED_VALUE"""),1)</f>
        <v/>
      </c>
      <c r="Q7" s="45">
        <f>IFERROR(__xludf.DUMMYFUNCTION("""COMPUTED_VALUE"""),50000)</f>
        <v/>
      </c>
      <c r="R7" s="45">
        <f>IFERROR(__xludf.DUMMYFUNCTION("""COMPUTED_VALUE"""),50000)</f>
        <v/>
      </c>
    </row>
    <row r="8">
      <c r="A8" s="7">
        <f>IFERROR(__xludf.DUMMYFUNCTION("""COMPUTED_VALUE"""),5)</f>
        <v/>
      </c>
      <c r="B8" s="8">
        <f>IFERROR(__xludf.DUMMYFUNCTION("""COMPUTED_VALUE"""),"Unity")</f>
        <v/>
      </c>
      <c r="C8" s="53" t="n"/>
      <c r="D8" s="8" t="n"/>
      <c r="E8" s="8">
        <f>IFERROR(__xludf.DUMMYFUNCTION("""COMPUTED_VALUE"""),"UG01")</f>
        <v/>
      </c>
      <c r="F8" s="2">
        <f>IFERROR(__xludf.DUMMYFUNCTION("""COMPUTED_VALUE"""),"x")</f>
        <v/>
      </c>
      <c r="G8" s="8">
        <f>IFERROR(__xludf.DUMMYFUNCTION("""COMPUTED_VALUE"""),"MBS")</f>
        <v/>
      </c>
      <c r="H8" s="8">
        <f>IFERROR(__xludf.DUMMYFUNCTION("""COMPUTED_VALUE"""),"MBS")</f>
        <v/>
      </c>
      <c r="I8" s="9">
        <f>IFERROR(__xludf.DUMMYFUNCTION("""COMPUTED_VALUE"""),"1 tháng")</f>
        <v/>
      </c>
      <c r="J8" s="9">
        <f>IFERROR(__xludf.DUMMYFUNCTION("""COMPUTED_VALUE"""),"1 tháng")</f>
        <v/>
      </c>
      <c r="K8" s="43">
        <f>IFERROR(__xludf.DUMMYFUNCTION("""COMPUTED_VALUE"""),3100000)</f>
        <v/>
      </c>
      <c r="L8" s="43" t="n"/>
      <c r="M8" s="2">
        <f>IFERROR(__xludf.DUMMYFUNCTION("""COMPUTED_VALUE"""),"Ngưng SD")</f>
        <v/>
      </c>
      <c r="N8" s="2">
        <f>IFERROR(__xludf.DUMMYFUNCTION("""COMPUTED_VALUE"""),5)</f>
        <v/>
      </c>
      <c r="O8" s="10">
        <f>IFERROR(__xludf.DUMMYFUNCTION("""COMPUTED_VALUE"""),"Massage Uper body Nữ")</f>
        <v/>
      </c>
      <c r="P8" s="2">
        <f>IFERROR(__xludf.DUMMYFUNCTION("""COMPUTED_VALUE"""),1)</f>
        <v/>
      </c>
      <c r="Q8" s="45">
        <f>IFERROR(__xludf.DUMMYFUNCTION("""COMPUTED_VALUE"""),250000)</f>
        <v/>
      </c>
      <c r="R8" s="45">
        <f>IFERROR(__xludf.DUMMYFUNCTION("""COMPUTED_VALUE"""),250000)</f>
        <v/>
      </c>
    </row>
    <row r="9">
      <c r="A9" s="7">
        <f>IFERROR(__xludf.DUMMYFUNCTION("""COMPUTED_VALUE"""),6)</f>
        <v/>
      </c>
      <c r="B9" s="8">
        <f>IFERROR(__xludf.DUMMYFUNCTION("""COMPUTED_VALUE"""),"Unity")</f>
        <v/>
      </c>
      <c r="C9" s="51">
        <f>IFERROR(__xludf.DUMMYFUNCTION("""COMPUTED_VALUE"""),"Thẻ Pool Silver: Sử dụng dịch vụ Bể bơi, bể sục, phòng xông hơi, locker")</f>
        <v/>
      </c>
      <c r="D9" s="8" t="n"/>
      <c r="E9" s="8">
        <f>IFERROR(__xludf.DUMMYFUNCTION("""COMPUTED_VALUE"""),"UPS24")</f>
        <v/>
      </c>
      <c r="F9" s="2">
        <f>IFERROR(__xludf.DUMMYFUNCTION("""COMPUTED_VALUE"""),"x")</f>
        <v/>
      </c>
      <c r="G9" s="8">
        <f>IFERROR(__xludf.DUMMYFUNCTION("""COMPUTED_VALUE"""),"MBS")</f>
        <v/>
      </c>
      <c r="H9" s="8">
        <f>IFERROR(__xludf.DUMMYFUNCTION("""COMPUTED_VALUE"""),"MBS")</f>
        <v/>
      </c>
      <c r="I9" s="9">
        <f>IFERROR(__xludf.DUMMYFUNCTION("""COMPUTED_VALUE"""),"24 tháng")</f>
        <v/>
      </c>
      <c r="J9" s="9">
        <f>IFERROR(__xludf.DUMMYFUNCTION("""COMPUTED_VALUE"""),"24 tháng")</f>
        <v/>
      </c>
      <c r="K9" s="43">
        <f>IFERROR(__xludf.DUMMYFUNCTION("""COMPUTED_VALUE"""),24000000)</f>
        <v/>
      </c>
      <c r="L9" s="43" t="n"/>
      <c r="M9" s="2">
        <f>IFERROR(__xludf.DUMMYFUNCTION("""COMPUTED_VALUE"""),"Ngưng SD")</f>
        <v/>
      </c>
      <c r="N9" s="2">
        <f>IFERROR(__xludf.DUMMYFUNCTION("""COMPUTED_VALUE"""),6)</f>
        <v/>
      </c>
      <c r="O9" s="10">
        <f>IFERROR(__xludf.DUMMYFUNCTION("""COMPUTED_VALUE"""),"Massage Uper body Nam")</f>
        <v/>
      </c>
      <c r="P9" s="2">
        <f>IFERROR(__xludf.DUMMYFUNCTION("""COMPUTED_VALUE"""),1)</f>
        <v/>
      </c>
      <c r="Q9" s="45">
        <f>IFERROR(__xludf.DUMMYFUNCTION("""COMPUTED_VALUE"""),300000)</f>
        <v/>
      </c>
      <c r="R9" s="45">
        <f>IFERROR(__xludf.DUMMYFUNCTION("""COMPUTED_VALUE"""),300000)</f>
        <v/>
      </c>
    </row>
    <row r="10">
      <c r="A10" s="7">
        <f>IFERROR(__xludf.DUMMYFUNCTION("""COMPUTED_VALUE"""),7)</f>
        <v/>
      </c>
      <c r="B10" s="8">
        <f>IFERROR(__xludf.DUMMYFUNCTION("""COMPUTED_VALUE"""),"Unity")</f>
        <v/>
      </c>
      <c r="C10" s="52" t="n"/>
      <c r="D10" s="8" t="n"/>
      <c r="E10" s="8">
        <f>IFERROR(__xludf.DUMMYFUNCTION("""COMPUTED_VALUE"""),"UPS12")</f>
        <v/>
      </c>
      <c r="F10" s="2">
        <f>IFERROR(__xludf.DUMMYFUNCTION("""COMPUTED_VALUE"""),"x")</f>
        <v/>
      </c>
      <c r="G10" s="8">
        <f>IFERROR(__xludf.DUMMYFUNCTION("""COMPUTED_VALUE"""),"MBS")</f>
        <v/>
      </c>
      <c r="H10" s="8">
        <f>IFERROR(__xludf.DUMMYFUNCTION("""COMPUTED_VALUE"""),"MBS")</f>
        <v/>
      </c>
      <c r="I10" s="9">
        <f>IFERROR(__xludf.DUMMYFUNCTION("""COMPUTED_VALUE"""),"12 tháng")</f>
        <v/>
      </c>
      <c r="J10" s="9">
        <f>IFERROR(__xludf.DUMMYFUNCTION("""COMPUTED_VALUE"""),"12 tháng")</f>
        <v/>
      </c>
      <c r="K10" s="43">
        <f>IFERROR(__xludf.DUMMYFUNCTION("""COMPUTED_VALUE"""),15000000)</f>
        <v/>
      </c>
      <c r="L10" s="43" t="n"/>
      <c r="M10" s="2">
        <f>IFERROR(__xludf.DUMMYFUNCTION("""COMPUTED_VALUE"""),"Ngưng SD")</f>
        <v/>
      </c>
      <c r="N10" s="2">
        <f>IFERROR(__xludf.DUMMYFUNCTION("""COMPUTED_VALUE"""),7)</f>
        <v/>
      </c>
      <c r="O10" s="10">
        <f>IFERROR(__xludf.DUMMYFUNCTION("""COMPUTED_VALUE"""),"Massage body Nữ")</f>
        <v/>
      </c>
      <c r="P10" s="2">
        <f>IFERROR(__xludf.DUMMYFUNCTION("""COMPUTED_VALUE"""),1)</f>
        <v/>
      </c>
      <c r="Q10" s="45">
        <f>IFERROR(__xludf.DUMMYFUNCTION("""COMPUTED_VALUE"""),300000)</f>
        <v/>
      </c>
      <c r="R10" s="45">
        <f>IFERROR(__xludf.DUMMYFUNCTION("""COMPUTED_VALUE"""),300000)</f>
        <v/>
      </c>
    </row>
    <row r="11">
      <c r="A11" s="7">
        <f>IFERROR(__xludf.DUMMYFUNCTION("""COMPUTED_VALUE"""),8)</f>
        <v/>
      </c>
      <c r="B11" s="8">
        <f>IFERROR(__xludf.DUMMYFUNCTION("""COMPUTED_VALUE"""),"Unity")</f>
        <v/>
      </c>
      <c r="C11" s="52" t="n"/>
      <c r="D11" s="8" t="n"/>
      <c r="E11" s="8">
        <f>IFERROR(__xludf.DUMMYFUNCTION("""COMPUTED_VALUE"""),"UPS06")</f>
        <v/>
      </c>
      <c r="F11" s="2">
        <f>IFERROR(__xludf.DUMMYFUNCTION("""COMPUTED_VALUE"""),"x")</f>
        <v/>
      </c>
      <c r="G11" s="8">
        <f>IFERROR(__xludf.DUMMYFUNCTION("""COMPUTED_VALUE"""),"MBS")</f>
        <v/>
      </c>
      <c r="H11" s="8">
        <f>IFERROR(__xludf.DUMMYFUNCTION("""COMPUTED_VALUE"""),"MBS")</f>
        <v/>
      </c>
      <c r="I11" s="9">
        <f>IFERROR(__xludf.DUMMYFUNCTION("""COMPUTED_VALUE"""),"6 tháng")</f>
        <v/>
      </c>
      <c r="J11" s="9">
        <f>IFERROR(__xludf.DUMMYFUNCTION("""COMPUTED_VALUE"""),"6 tháng")</f>
        <v/>
      </c>
      <c r="K11" s="43">
        <f>IFERROR(__xludf.DUMMYFUNCTION("""COMPUTED_VALUE"""),9000000)</f>
        <v/>
      </c>
      <c r="L11" s="43" t="n"/>
      <c r="M11" s="2">
        <f>IFERROR(__xludf.DUMMYFUNCTION("""COMPUTED_VALUE"""),"Ngưng SD")</f>
        <v/>
      </c>
      <c r="N11" s="2">
        <f>IFERROR(__xludf.DUMMYFUNCTION("""COMPUTED_VALUE"""),8)</f>
        <v/>
      </c>
      <c r="O11" s="10">
        <f>IFERROR(__xludf.DUMMYFUNCTION("""COMPUTED_VALUE"""),"Massage body Nam")</f>
        <v/>
      </c>
      <c r="P11" s="2">
        <f>IFERROR(__xludf.DUMMYFUNCTION("""COMPUTED_VALUE"""),1)</f>
        <v/>
      </c>
      <c r="Q11" s="45">
        <f>IFERROR(__xludf.DUMMYFUNCTION("""COMPUTED_VALUE"""),400000)</f>
        <v/>
      </c>
      <c r="R11" s="45">
        <f>IFERROR(__xludf.DUMMYFUNCTION("""COMPUTED_VALUE"""),400000)</f>
        <v/>
      </c>
    </row>
    <row r="12">
      <c r="A12" s="7">
        <f>IFERROR(__xludf.DUMMYFUNCTION("""COMPUTED_VALUE"""),9)</f>
        <v/>
      </c>
      <c r="B12" s="8">
        <f>IFERROR(__xludf.DUMMYFUNCTION("""COMPUTED_VALUE"""),"Unity")</f>
        <v/>
      </c>
      <c r="C12" s="52" t="n"/>
      <c r="D12" s="8" t="n"/>
      <c r="E12" s="8">
        <f>IFERROR(__xludf.DUMMYFUNCTION("""COMPUTED_VALUE"""),"UPS03")</f>
        <v/>
      </c>
      <c r="F12" s="2">
        <f>IFERROR(__xludf.DUMMYFUNCTION("""COMPUTED_VALUE"""),"x")</f>
        <v/>
      </c>
      <c r="G12" s="8">
        <f>IFERROR(__xludf.DUMMYFUNCTION("""COMPUTED_VALUE"""),"MBS")</f>
        <v/>
      </c>
      <c r="H12" s="8">
        <f>IFERROR(__xludf.DUMMYFUNCTION("""COMPUTED_VALUE"""),"MBS")</f>
        <v/>
      </c>
      <c r="I12" s="9">
        <f>IFERROR(__xludf.DUMMYFUNCTION("""COMPUTED_VALUE"""),"3 tháng")</f>
        <v/>
      </c>
      <c r="J12" s="9">
        <f>IFERROR(__xludf.DUMMYFUNCTION("""COMPUTED_VALUE"""),"3 tháng")</f>
        <v/>
      </c>
      <c r="K12" s="43">
        <f>IFERROR(__xludf.DUMMYFUNCTION("""COMPUTED_VALUE"""),5100000)</f>
        <v/>
      </c>
      <c r="L12" s="43" t="n"/>
      <c r="M12" s="2">
        <f>IFERROR(__xludf.DUMMYFUNCTION("""COMPUTED_VALUE"""),"Ngưng SD")</f>
        <v/>
      </c>
      <c r="N12" s="2">
        <f>IFERROR(__xludf.DUMMYFUNCTION("""COMPUTED_VALUE"""),9)</f>
        <v/>
      </c>
      <c r="O12" s="11">
        <f>IFERROR(__xludf.DUMMYFUNCTION("""COMPUTED_VALUE"""),"Ngân chân thuốc Bắc")</f>
        <v/>
      </c>
      <c r="P12" s="2">
        <f>IFERROR(__xludf.DUMMYFUNCTION("""COMPUTED_VALUE"""),1)</f>
        <v/>
      </c>
      <c r="Q12" s="45">
        <f>IFERROR(__xludf.DUMMYFUNCTION("""COMPUTED_VALUE"""),150000)</f>
        <v/>
      </c>
      <c r="R12" s="45">
        <f>IFERROR(__xludf.DUMMYFUNCTION("""COMPUTED_VALUE"""),150000)</f>
        <v/>
      </c>
    </row>
    <row r="13">
      <c r="A13" s="7">
        <f>IFERROR(__xludf.DUMMYFUNCTION("""COMPUTED_VALUE"""),10)</f>
        <v/>
      </c>
      <c r="B13" s="8">
        <f>IFERROR(__xludf.DUMMYFUNCTION("""COMPUTED_VALUE"""),"Unity")</f>
        <v/>
      </c>
      <c r="C13" s="53" t="n"/>
      <c r="D13" s="8" t="n"/>
      <c r="E13" s="8">
        <f>IFERROR(__xludf.DUMMYFUNCTION("""COMPUTED_VALUE"""),"UPS01")</f>
        <v/>
      </c>
      <c r="F13" s="2">
        <f>IFERROR(__xludf.DUMMYFUNCTION("""COMPUTED_VALUE"""),"x")</f>
        <v/>
      </c>
      <c r="G13" s="8">
        <f>IFERROR(__xludf.DUMMYFUNCTION("""COMPUTED_VALUE"""),"MBS")</f>
        <v/>
      </c>
      <c r="H13" s="8">
        <f>IFERROR(__xludf.DUMMYFUNCTION("""COMPUTED_VALUE"""),"MBS")</f>
        <v/>
      </c>
      <c r="I13" s="9">
        <f>IFERROR(__xludf.DUMMYFUNCTION("""COMPUTED_VALUE"""),"1 tháng")</f>
        <v/>
      </c>
      <c r="J13" s="9">
        <f>IFERROR(__xludf.DUMMYFUNCTION("""COMPUTED_VALUE"""),"1 tháng")</f>
        <v/>
      </c>
      <c r="K13" s="43">
        <f>IFERROR(__xludf.DUMMYFUNCTION("""COMPUTED_VALUE"""),2500000)</f>
        <v/>
      </c>
      <c r="L13" s="43" t="n"/>
      <c r="M13" s="2">
        <f>IFERROR(__xludf.DUMMYFUNCTION("""COMPUTED_VALUE"""),"Ngưng SD")</f>
        <v/>
      </c>
      <c r="N13" s="2">
        <f>IFERROR(__xludf.DUMMYFUNCTION("""COMPUTED_VALUE"""),10)</f>
        <v/>
      </c>
      <c r="O13" s="11">
        <f>IFERROR(__xludf.DUMMYFUNCTION("""COMPUTED_VALUE"""),"Massage bấm huyệt chân")</f>
        <v/>
      </c>
      <c r="P13" s="2">
        <f>IFERROR(__xludf.DUMMYFUNCTION("""COMPUTED_VALUE"""),1)</f>
        <v/>
      </c>
      <c r="Q13" s="45">
        <f>IFERROR(__xludf.DUMMYFUNCTION("""COMPUTED_VALUE"""),150000)</f>
        <v/>
      </c>
      <c r="R13" s="45">
        <f>IFERROR(__xludf.DUMMYFUNCTION("""COMPUTED_VALUE"""),150000)</f>
        <v/>
      </c>
    </row>
    <row r="14">
      <c r="A14" s="7">
        <f>IFERROR(__xludf.DUMMYFUNCTION("""COMPUTED_VALUE"""),11)</f>
        <v/>
      </c>
      <c r="B14" s="8">
        <f>IFERROR(__xludf.DUMMYFUNCTION("""COMPUTED_VALUE"""),"Unity")</f>
        <v/>
      </c>
      <c r="C14" s="51">
        <f>IFERROR(__xludf.DUMMYFUNCTION("""COMPUTED_VALUE"""),"Thẻ Fitness Silver: Sử dụng dịch vụ phòng gym, lớp group X, locker, xông hơi")</f>
        <v/>
      </c>
      <c r="D14" s="8">
        <f>IFERROR(__xludf.DUMMYFUNCTION("""COMPUTED_VALUE"""),"UFS24")</f>
        <v/>
      </c>
      <c r="E14" s="8">
        <f>IFERROR(__xludf.DUMMYFUNCTION("""COMPUTED_VALUE"""),"UFS24")</f>
        <v/>
      </c>
      <c r="F14" s="2">
        <f>IFERROR(__xludf.DUMMYFUNCTION("""COMPUTED_VALUE"""),"x")</f>
        <v/>
      </c>
      <c r="G14" s="8">
        <f>IFERROR(__xludf.DUMMYFUNCTION("""COMPUTED_VALUE"""),"MBS")</f>
        <v/>
      </c>
      <c r="H14" s="8">
        <f>IFERROR(__xludf.DUMMYFUNCTION("""COMPUTED_VALUE"""),"MBS")</f>
        <v/>
      </c>
      <c r="I14" s="9">
        <f>IFERROR(__xludf.DUMMYFUNCTION("""COMPUTED_VALUE"""),"24 tháng")</f>
        <v/>
      </c>
      <c r="J14" s="9">
        <f>IFERROR(__xludf.DUMMYFUNCTION("""COMPUTED_VALUE"""),"24 tháng")</f>
        <v/>
      </c>
      <c r="K14" s="43">
        <f>IFERROR(__xludf.DUMMYFUNCTION("""COMPUTED_VALUE"""),19200000)</f>
        <v/>
      </c>
      <c r="L14" s="43" t="n"/>
      <c r="M14" s="2">
        <f>IFERROR(__xludf.DUMMYFUNCTION("""COMPUTED_VALUE"""),"")</f>
        <v/>
      </c>
      <c r="N14" s="2">
        <f>IFERROR(__xludf.DUMMYFUNCTION("""COMPUTED_VALUE"""),11)</f>
        <v/>
      </c>
      <c r="O14" s="10">
        <f>IFERROR(__xludf.DUMMYFUNCTION("""COMPUTED_VALUE"""),"Đắp mặt, chiếu ánh sáng sinh học")</f>
        <v/>
      </c>
      <c r="P14" s="2">
        <f>IFERROR(__xludf.DUMMYFUNCTION("""COMPUTED_VALUE"""),1)</f>
        <v/>
      </c>
      <c r="Q14" s="45">
        <f>IFERROR(__xludf.DUMMYFUNCTION("""COMPUTED_VALUE"""),50000)</f>
        <v/>
      </c>
      <c r="R14" s="45">
        <f>IFERROR(__xludf.DUMMYFUNCTION("""COMPUTED_VALUE"""),50000)</f>
        <v/>
      </c>
    </row>
    <row r="15">
      <c r="A15" s="7">
        <f>IFERROR(__xludf.DUMMYFUNCTION("""COMPUTED_VALUE"""),12)</f>
        <v/>
      </c>
      <c r="B15" s="8">
        <f>IFERROR(__xludf.DUMMYFUNCTION("""COMPUTED_VALUE"""),"Unity")</f>
        <v/>
      </c>
      <c r="C15" s="52" t="n"/>
      <c r="D15" s="8">
        <f>IFERROR(__xludf.DUMMYFUNCTION("""COMPUTED_VALUE"""),"UFS12")</f>
        <v/>
      </c>
      <c r="E15" s="8">
        <f>IFERROR(__xludf.DUMMYFUNCTION("""COMPUTED_VALUE"""),"UFS12")</f>
        <v/>
      </c>
      <c r="F15" s="2">
        <f>IFERROR(__xludf.DUMMYFUNCTION("""COMPUTED_VALUE"""),"x")</f>
        <v/>
      </c>
      <c r="G15" s="8">
        <f>IFERROR(__xludf.DUMMYFUNCTION("""COMPUTED_VALUE"""),"MBS")</f>
        <v/>
      </c>
      <c r="H15" s="8">
        <f>IFERROR(__xludf.DUMMYFUNCTION("""COMPUTED_VALUE"""),"MBS")</f>
        <v/>
      </c>
      <c r="I15" s="9">
        <f>IFERROR(__xludf.DUMMYFUNCTION("""COMPUTED_VALUE"""),"12 tháng")</f>
        <v/>
      </c>
      <c r="J15" s="9">
        <f>IFERROR(__xludf.DUMMYFUNCTION("""COMPUTED_VALUE"""),"12 tháng")</f>
        <v/>
      </c>
      <c r="K15" s="43">
        <f>IFERROR(__xludf.DUMMYFUNCTION("""COMPUTED_VALUE"""),12000000)</f>
        <v/>
      </c>
      <c r="L15" s="43" t="n"/>
      <c r="M15" s="2">
        <f>IFERROR(__xludf.DUMMYFUNCTION("""COMPUTED_VALUE"""),"")</f>
        <v/>
      </c>
      <c r="N15" s="2">
        <f>IFERROR(__xludf.DUMMYFUNCTION("""COMPUTED_VALUE"""),12)</f>
        <v/>
      </c>
      <c r="O15" s="10">
        <f>IFERROR(__xludf.DUMMYFUNCTION("""COMPUTED_VALUE"""),"Massage Uper body Nữ cũ")</f>
        <v/>
      </c>
      <c r="P15" s="2">
        <f>IFERROR(__xludf.DUMMYFUNCTION("""COMPUTED_VALUE"""),1)</f>
        <v/>
      </c>
      <c r="Q15" s="45">
        <f>IFERROR(__xludf.DUMMYFUNCTION("""COMPUTED_VALUE"""),150000)</f>
        <v/>
      </c>
      <c r="R15" s="45">
        <f>IFERROR(__xludf.DUMMYFUNCTION("""COMPUTED_VALUE"""),150000)</f>
        <v/>
      </c>
    </row>
    <row r="16">
      <c r="A16" s="7">
        <f>IFERROR(__xludf.DUMMYFUNCTION("""COMPUTED_VALUE"""),13)</f>
        <v/>
      </c>
      <c r="B16" s="8">
        <f>IFERROR(__xludf.DUMMYFUNCTION("""COMPUTED_VALUE"""),"Unity")</f>
        <v/>
      </c>
      <c r="C16" s="52" t="n"/>
      <c r="D16" s="8">
        <f>IFERROR(__xludf.DUMMYFUNCTION("""COMPUTED_VALUE"""),"UFS06")</f>
        <v/>
      </c>
      <c r="E16" s="8">
        <f>IFERROR(__xludf.DUMMYFUNCTION("""COMPUTED_VALUE"""),"UFS06")</f>
        <v/>
      </c>
      <c r="F16" s="2">
        <f>IFERROR(__xludf.DUMMYFUNCTION("""COMPUTED_VALUE"""),"x")</f>
        <v/>
      </c>
      <c r="G16" s="8">
        <f>IFERROR(__xludf.DUMMYFUNCTION("""COMPUTED_VALUE"""),"MBS")</f>
        <v/>
      </c>
      <c r="H16" s="8">
        <f>IFERROR(__xludf.DUMMYFUNCTION("""COMPUTED_VALUE"""),"MBS")</f>
        <v/>
      </c>
      <c r="I16" s="9">
        <f>IFERROR(__xludf.DUMMYFUNCTION("""COMPUTED_VALUE"""),"6 tháng")</f>
        <v/>
      </c>
      <c r="J16" s="9">
        <f>IFERROR(__xludf.DUMMYFUNCTION("""COMPUTED_VALUE"""),"6 tháng")</f>
        <v/>
      </c>
      <c r="K16" s="43">
        <f>IFERROR(__xludf.DUMMYFUNCTION("""COMPUTED_VALUE"""),7200000)</f>
        <v/>
      </c>
      <c r="L16" s="43" t="n"/>
      <c r="M16" s="2">
        <f>IFERROR(__xludf.DUMMYFUNCTION("""COMPUTED_VALUE"""),"")</f>
        <v/>
      </c>
      <c r="N16" s="2">
        <f>IFERROR(__xludf.DUMMYFUNCTION("""COMPUTED_VALUE"""),13)</f>
        <v/>
      </c>
      <c r="O16" s="12">
        <f>IFERROR(__xludf.DUMMYFUNCTION("""COMPUTED_VALUE"""),"Xông mặt")</f>
        <v/>
      </c>
      <c r="P16" s="2">
        <f>IFERROR(__xludf.DUMMYFUNCTION("""COMPUTED_VALUE"""),1)</f>
        <v/>
      </c>
      <c r="Q16" s="45">
        <f>IFERROR(__xludf.DUMMYFUNCTION("""COMPUTED_VALUE"""),20000)</f>
        <v/>
      </c>
      <c r="R16" s="45">
        <f>IFERROR(__xludf.DUMMYFUNCTION("""COMPUTED_VALUE"""),20000)</f>
        <v/>
      </c>
    </row>
    <row r="17">
      <c r="A17" s="7">
        <f>IFERROR(__xludf.DUMMYFUNCTION("""COMPUTED_VALUE"""),14)</f>
        <v/>
      </c>
      <c r="B17" s="8">
        <f>IFERROR(__xludf.DUMMYFUNCTION("""COMPUTED_VALUE"""),"Unity")</f>
        <v/>
      </c>
      <c r="C17" s="52" t="n"/>
      <c r="D17" s="8">
        <f>IFERROR(__xludf.DUMMYFUNCTION("""COMPUTED_VALUE"""),"UFS03")</f>
        <v/>
      </c>
      <c r="E17" s="8">
        <f>IFERROR(__xludf.DUMMYFUNCTION("""COMPUTED_VALUE"""),"UFS03")</f>
        <v/>
      </c>
      <c r="F17" s="2">
        <f>IFERROR(__xludf.DUMMYFUNCTION("""COMPUTED_VALUE"""),"x")</f>
        <v/>
      </c>
      <c r="G17" s="8">
        <f>IFERROR(__xludf.DUMMYFUNCTION("""COMPUTED_VALUE"""),"MBS")</f>
        <v/>
      </c>
      <c r="H17" s="8">
        <f>IFERROR(__xludf.DUMMYFUNCTION("""COMPUTED_VALUE"""),"MBS")</f>
        <v/>
      </c>
      <c r="I17" s="9">
        <f>IFERROR(__xludf.DUMMYFUNCTION("""COMPUTED_VALUE"""),"3 tháng")</f>
        <v/>
      </c>
      <c r="J17" s="9">
        <f>IFERROR(__xludf.DUMMYFUNCTION("""COMPUTED_VALUE"""),"3 tháng")</f>
        <v/>
      </c>
      <c r="K17" s="43">
        <f>IFERROR(__xludf.DUMMYFUNCTION("""COMPUTED_VALUE"""),3900000)</f>
        <v/>
      </c>
      <c r="L17" s="43" t="n"/>
      <c r="M17" s="2">
        <f>IFERROR(__xludf.DUMMYFUNCTION("""COMPUTED_VALUE"""),"")</f>
        <v/>
      </c>
      <c r="N17" s="2">
        <f>IFERROR(__xludf.DUMMYFUNCTION("""COMPUTED_VALUE"""),14)</f>
        <v/>
      </c>
      <c r="O17" s="11">
        <f>IFERROR(__xludf.DUMMYFUNCTION("""COMPUTED_VALUE"""),"Thẻ Ngân chân thuốc Bắc")</f>
        <v/>
      </c>
      <c r="P17" s="2">
        <f>IFERROR(__xludf.DUMMYFUNCTION("""COMPUTED_VALUE"""),10)</f>
        <v/>
      </c>
      <c r="Q17" s="45">
        <f>IFERROR(__xludf.DUMMYFUNCTION("""COMPUTED_VALUE"""),1300000)</f>
        <v/>
      </c>
      <c r="R17" s="45">
        <f>IFERROR(__xludf.DUMMYFUNCTION("""COMPUTED_VALUE"""),130000)</f>
        <v/>
      </c>
    </row>
    <row r="18">
      <c r="A18" s="7">
        <f>IFERROR(__xludf.DUMMYFUNCTION("""COMPUTED_VALUE"""),15)</f>
        <v/>
      </c>
      <c r="B18" s="8">
        <f>IFERROR(__xludf.DUMMYFUNCTION("""COMPUTED_VALUE"""),"Unity")</f>
        <v/>
      </c>
      <c r="C18" s="53" t="n"/>
      <c r="D18" s="8" t="n"/>
      <c r="E18" s="8">
        <f>IFERROR(__xludf.DUMMYFUNCTION("""COMPUTED_VALUE"""),"UFS3")</f>
        <v/>
      </c>
      <c r="F18" s="2">
        <f>IFERROR(__xludf.DUMMYFUNCTION("""COMPUTED_VALUE"""),"x")</f>
        <v/>
      </c>
      <c r="G18" s="8">
        <f>IFERROR(__xludf.DUMMYFUNCTION("""COMPUTED_VALUE"""),"MBS")</f>
        <v/>
      </c>
      <c r="H18" s="8">
        <f>IFERROR(__xludf.DUMMYFUNCTION("""COMPUTED_VALUE"""),"MBS")</f>
        <v/>
      </c>
      <c r="I18" s="9">
        <f>IFERROR(__xludf.DUMMYFUNCTION("""COMPUTED_VALUE"""),"3 tháng")</f>
        <v/>
      </c>
      <c r="J18" s="9">
        <f>IFERROR(__xludf.DUMMYFUNCTION("""COMPUTED_VALUE"""),"3 tháng")</f>
        <v/>
      </c>
      <c r="K18" s="43">
        <f>IFERROR(__xludf.DUMMYFUNCTION("""COMPUTED_VALUE"""),4300000)</f>
        <v/>
      </c>
      <c r="L18" s="43" t="n"/>
      <c r="M18" s="2">
        <f>IFERROR(__xludf.DUMMYFUNCTION("""COMPUTED_VALUE"""),"Ngưng SD")</f>
        <v/>
      </c>
      <c r="N18" s="2" t="n"/>
      <c r="O18" s="11" t="n"/>
      <c r="P18" s="2" t="n"/>
      <c r="Q18" s="45" t="n"/>
      <c r="R18" s="45" t="n"/>
    </row>
    <row r="19">
      <c r="A19" s="7">
        <f>IFERROR(__xludf.DUMMYFUNCTION("""COMPUTED_VALUE"""),16)</f>
        <v/>
      </c>
      <c r="B19" s="8">
        <f>IFERROR(__xludf.DUMMYFUNCTION("""COMPUTED_VALUE"""),"Unity")</f>
        <v/>
      </c>
      <c r="C19" s="51" t="n"/>
      <c r="D19" s="8">
        <f>IFERROR(__xludf.DUMMYFUNCTION("""COMPUTED_VALUE"""),"UFS01")</f>
        <v/>
      </c>
      <c r="E19" s="8">
        <f>IFERROR(__xludf.DUMMYFUNCTION("""COMPUTED_VALUE"""),"UFS01")</f>
        <v/>
      </c>
      <c r="F19" s="2">
        <f>IFERROR(__xludf.DUMMYFUNCTION("""COMPUTED_VALUE"""),"x")</f>
        <v/>
      </c>
      <c r="G19" s="8">
        <f>IFERROR(__xludf.DUMMYFUNCTION("""COMPUTED_VALUE"""),"MBS")</f>
        <v/>
      </c>
      <c r="H19" s="8">
        <f>IFERROR(__xludf.DUMMYFUNCTION("""COMPUTED_VALUE"""),"MBS")</f>
        <v/>
      </c>
      <c r="I19" s="9">
        <f>IFERROR(__xludf.DUMMYFUNCTION("""COMPUTED_VALUE"""),"1 tháng")</f>
        <v/>
      </c>
      <c r="J19" s="9">
        <f>IFERROR(__xludf.DUMMYFUNCTION("""COMPUTED_VALUE"""),"1 tháng")</f>
        <v/>
      </c>
      <c r="K19" s="43">
        <f>IFERROR(__xludf.DUMMYFUNCTION("""COMPUTED_VALUE"""),1500000)</f>
        <v/>
      </c>
      <c r="L19" s="43" t="n"/>
      <c r="M19" s="2">
        <f>IFERROR(__xludf.DUMMYFUNCTION("""COMPUTED_VALUE"""),"")</f>
        <v/>
      </c>
      <c r="N19" s="2">
        <f>IFERROR(__xludf.DUMMYFUNCTION("""COMPUTED_VALUE"""),15)</f>
        <v/>
      </c>
      <c r="O19" s="11">
        <f>IFERROR(__xludf.DUMMYFUNCTION("""COMPUTED_VALUE"""),"Thẻ Massage bấm huyệt chân")</f>
        <v/>
      </c>
      <c r="P19" s="2">
        <f>IFERROR(__xludf.DUMMYFUNCTION("""COMPUTED_VALUE"""),10)</f>
        <v/>
      </c>
      <c r="Q19" s="45">
        <f>IFERROR(__xludf.DUMMYFUNCTION("""COMPUTED_VALUE"""),1300000)</f>
        <v/>
      </c>
      <c r="R19" s="45">
        <f>IFERROR(__xludf.DUMMYFUNCTION("""COMPUTED_VALUE"""),130000)</f>
        <v/>
      </c>
    </row>
    <row r="20">
      <c r="A20" s="7">
        <f>IFERROR(__xludf.DUMMYFUNCTION("""COMPUTED_VALUE"""),17)</f>
        <v/>
      </c>
      <c r="B20" s="8">
        <f>IFERROR(__xludf.DUMMYFUNCTION("""COMPUTED_VALUE"""),"Unity")</f>
        <v/>
      </c>
      <c r="C20" s="52" t="n"/>
      <c r="D20" s="8" t="n"/>
      <c r="E20" s="8">
        <f>IFERROR(__xludf.DUMMYFUNCTION("""COMPUTED_VALUE"""),"ST24")</f>
        <v/>
      </c>
      <c r="F20" s="2">
        <f>IFERROR(__xludf.DUMMYFUNCTION("""COMPUTED_VALUE"""),"x")</f>
        <v/>
      </c>
      <c r="G20" s="8">
        <f>IFERROR(__xludf.DUMMYFUNCTION("""COMPUTED_VALUE"""),"MBS")</f>
        <v/>
      </c>
      <c r="H20" s="8">
        <f>IFERROR(__xludf.DUMMYFUNCTION("""COMPUTED_VALUE"""),"MBS")</f>
        <v/>
      </c>
      <c r="I20" s="9">
        <f>IFERROR(__xludf.DUMMYFUNCTION("""COMPUTED_VALUE"""),"24 tháng")</f>
        <v/>
      </c>
      <c r="J20" s="9">
        <f>IFERROR(__xludf.DUMMYFUNCTION("""COMPUTED_VALUE"""),"24 tháng")</f>
        <v/>
      </c>
      <c r="K20" s="43">
        <f>IFERROR(__xludf.DUMMYFUNCTION("""COMPUTED_VALUE"""),20500000)</f>
        <v/>
      </c>
      <c r="L20" s="43" t="n"/>
      <c r="M20" s="2">
        <f>IFERROR(__xludf.DUMMYFUNCTION("""COMPUTED_VALUE"""),"Ngưng SD")</f>
        <v/>
      </c>
      <c r="N20" s="2">
        <f>IFERROR(__xludf.DUMMYFUNCTION("""COMPUTED_VALUE"""),16)</f>
        <v/>
      </c>
      <c r="O20" s="11">
        <f>IFERROR(__xludf.DUMMYFUNCTION("""COMPUTED_VALUE"""),"Thẻ Massage body Nữ")</f>
        <v/>
      </c>
      <c r="P20" s="2">
        <f>IFERROR(__xludf.DUMMYFUNCTION("""COMPUTED_VALUE"""),10)</f>
        <v/>
      </c>
      <c r="Q20" s="45">
        <f>IFERROR(__xludf.DUMMYFUNCTION("""COMPUTED_VALUE"""),2800000)</f>
        <v/>
      </c>
      <c r="R20" s="45">
        <f>IFERROR(__xludf.DUMMYFUNCTION("""COMPUTED_VALUE"""),280000)</f>
        <v/>
      </c>
    </row>
    <row r="21">
      <c r="A21" s="7">
        <f>IFERROR(__xludf.DUMMYFUNCTION("""COMPUTED_VALUE"""),18)</f>
        <v/>
      </c>
      <c r="B21" s="8">
        <f>IFERROR(__xludf.DUMMYFUNCTION("""COMPUTED_VALUE"""),"Unity")</f>
        <v/>
      </c>
      <c r="C21" s="52" t="n"/>
      <c r="D21" s="8" t="n"/>
      <c r="E21" s="8">
        <f>IFERROR(__xludf.DUMMYFUNCTION("""COMPUTED_VALUE"""),"ST12")</f>
        <v/>
      </c>
      <c r="F21" s="2">
        <f>IFERROR(__xludf.DUMMYFUNCTION("""COMPUTED_VALUE"""),"x")</f>
        <v/>
      </c>
      <c r="G21" s="8">
        <f>IFERROR(__xludf.DUMMYFUNCTION("""COMPUTED_VALUE"""),"MBS")</f>
        <v/>
      </c>
      <c r="H21" s="8">
        <f>IFERROR(__xludf.DUMMYFUNCTION("""COMPUTED_VALUE"""),"MBS")</f>
        <v/>
      </c>
      <c r="I21" s="9">
        <f>IFERROR(__xludf.DUMMYFUNCTION("""COMPUTED_VALUE"""),"12 tháng")</f>
        <v/>
      </c>
      <c r="J21" s="9">
        <f>IFERROR(__xludf.DUMMYFUNCTION("""COMPUTED_VALUE"""),"12 tháng")</f>
        <v/>
      </c>
      <c r="K21" s="43">
        <f>IFERROR(__xludf.DUMMYFUNCTION("""COMPUTED_VALUE"""),13500000)</f>
        <v/>
      </c>
      <c r="L21" s="43" t="n"/>
      <c r="M21" s="2">
        <f>IFERROR(__xludf.DUMMYFUNCTION("""COMPUTED_VALUE"""),"Ngưng SD")</f>
        <v/>
      </c>
      <c r="N21" s="2">
        <f>IFERROR(__xludf.DUMMYFUNCTION("""COMPUTED_VALUE"""),17)</f>
        <v/>
      </c>
      <c r="O21" s="11">
        <f>IFERROR(__xludf.DUMMYFUNCTION("""COMPUTED_VALUE"""),"Thẻ Massage body Nam")</f>
        <v/>
      </c>
      <c r="P21" s="2">
        <f>IFERROR(__xludf.DUMMYFUNCTION("""COMPUTED_VALUE"""),10)</f>
        <v/>
      </c>
      <c r="Q21" s="45">
        <f>IFERROR(__xludf.DUMMYFUNCTION("""COMPUTED_VALUE"""),3700000)</f>
        <v/>
      </c>
      <c r="R21" s="45">
        <f>IFERROR(__xludf.DUMMYFUNCTION("""COMPUTED_VALUE"""),370000)</f>
        <v/>
      </c>
    </row>
    <row r="22">
      <c r="A22" s="7">
        <f>IFERROR(__xludf.DUMMYFUNCTION("""COMPUTED_VALUE"""),19)</f>
        <v/>
      </c>
      <c r="B22" s="8">
        <f>IFERROR(__xludf.DUMMYFUNCTION("""COMPUTED_VALUE"""),"Unity")</f>
        <v/>
      </c>
      <c r="C22" s="53" t="n"/>
      <c r="D22" s="8" t="n"/>
      <c r="E22" s="8">
        <f>IFERROR(__xludf.DUMMYFUNCTION("""COMPUTED_VALUE"""),"ST06")</f>
        <v/>
      </c>
      <c r="F22" s="2">
        <f>IFERROR(__xludf.DUMMYFUNCTION("""COMPUTED_VALUE"""),"x")</f>
        <v/>
      </c>
      <c r="G22" s="8">
        <f>IFERROR(__xludf.DUMMYFUNCTION("""COMPUTED_VALUE"""),"MBS")</f>
        <v/>
      </c>
      <c r="H22" s="8">
        <f>IFERROR(__xludf.DUMMYFUNCTION("""COMPUTED_VALUE"""),"MBS")</f>
        <v/>
      </c>
      <c r="I22" s="9">
        <f>IFERROR(__xludf.DUMMYFUNCTION("""COMPUTED_VALUE"""),"6 tháng")</f>
        <v/>
      </c>
      <c r="J22" s="9">
        <f>IFERROR(__xludf.DUMMYFUNCTION("""COMPUTED_VALUE"""),"6 tháng")</f>
        <v/>
      </c>
      <c r="K22" s="43">
        <f>IFERROR(__xludf.DUMMYFUNCTION("""COMPUTED_VALUE"""),8000000)</f>
        <v/>
      </c>
      <c r="L22" s="43" t="n"/>
      <c r="M22" s="2">
        <f>IFERROR(__xludf.DUMMYFUNCTION("""COMPUTED_VALUE"""),"Ngưng SD")</f>
        <v/>
      </c>
      <c r="N22" s="2">
        <f>IFERROR(__xludf.DUMMYFUNCTION("""COMPUTED_VALUE"""),18)</f>
        <v/>
      </c>
      <c r="O22" s="11">
        <f>IFERROR(__xludf.DUMMYFUNCTION("""COMPUTED_VALUE"""),"Thẻ Massage Uper body Nữ")</f>
        <v/>
      </c>
      <c r="P22" s="2">
        <f>IFERROR(__xludf.DUMMYFUNCTION("""COMPUTED_VALUE"""),10)</f>
        <v/>
      </c>
      <c r="Q22" s="45">
        <f>IFERROR(__xludf.DUMMYFUNCTION("""COMPUTED_VALUE"""),2300000)</f>
        <v/>
      </c>
      <c r="R22" s="45">
        <f>IFERROR(__xludf.DUMMYFUNCTION("""COMPUTED_VALUE"""),230000)</f>
        <v/>
      </c>
    </row>
    <row r="23">
      <c r="A23" s="7">
        <f>IFERROR(__xludf.DUMMYFUNCTION("""COMPUTED_VALUE"""),20)</f>
        <v/>
      </c>
      <c r="B23" s="13">
        <f>IFERROR(__xludf.DUMMYFUNCTION("""COMPUTED_VALUE"""),"Unity")</f>
        <v/>
      </c>
      <c r="C23" s="54" t="n"/>
      <c r="D23" s="14" t="n"/>
      <c r="E23" s="14">
        <f>IFERROR(__xludf.DUMMYFUNCTION("""COMPUTED_VALUE"""),"ST03")</f>
        <v/>
      </c>
      <c r="F23" s="15">
        <f>IFERROR(__xludf.DUMMYFUNCTION("""COMPUTED_VALUE"""),"x")</f>
        <v/>
      </c>
      <c r="G23" s="15">
        <f>IFERROR(__xludf.DUMMYFUNCTION("""COMPUTED_VALUE"""),"MBS")</f>
        <v/>
      </c>
      <c r="H23" s="15">
        <f>IFERROR(__xludf.DUMMYFUNCTION("""COMPUTED_VALUE"""),"MBS")</f>
        <v/>
      </c>
      <c r="I23" s="16">
        <f>IFERROR(__xludf.DUMMYFUNCTION("""COMPUTED_VALUE"""),"3 tháng")</f>
        <v/>
      </c>
      <c r="J23" s="16">
        <f>IFERROR(__xludf.DUMMYFUNCTION("""COMPUTED_VALUE"""),"3 tháng")</f>
        <v/>
      </c>
      <c r="K23" s="46">
        <f>IFERROR(__xludf.DUMMYFUNCTION("""COMPUTED_VALUE"""),4300000)</f>
        <v/>
      </c>
      <c r="L23" s="46" t="n"/>
      <c r="M23" s="2">
        <f>IFERROR(__xludf.DUMMYFUNCTION("""COMPUTED_VALUE"""),"Ngưng SD")</f>
        <v/>
      </c>
      <c r="N23" s="2">
        <f>IFERROR(__xludf.DUMMYFUNCTION("""COMPUTED_VALUE"""),19)</f>
        <v/>
      </c>
      <c r="O23" s="10">
        <f>IFERROR(__xludf.DUMMYFUNCTION("""COMPUTED_VALUE"""),"Thẻ Massage Uper body Nam")</f>
        <v/>
      </c>
      <c r="P23" s="2">
        <f>IFERROR(__xludf.DUMMYFUNCTION("""COMPUTED_VALUE"""),10)</f>
        <v/>
      </c>
      <c r="Q23" s="45">
        <f>IFERROR(__xludf.DUMMYFUNCTION("""COMPUTED_VALUE"""),2700000)</f>
        <v/>
      </c>
      <c r="R23" s="45">
        <f>IFERROR(__xludf.DUMMYFUNCTION("""COMPUTED_VALUE"""),270000)</f>
        <v/>
      </c>
    </row>
    <row r="24">
      <c r="A24" s="7">
        <f>IFERROR(__xludf.DUMMYFUNCTION("""COMPUTED_VALUE"""),21)</f>
        <v/>
      </c>
      <c r="B24" s="13">
        <f>IFERROR(__xludf.DUMMYFUNCTION("""COMPUTED_VALUE"""),"Unity")</f>
        <v/>
      </c>
      <c r="C24" s="55" t="n"/>
      <c r="D24" s="14" t="n"/>
      <c r="E24" s="14">
        <f>IFERROR(__xludf.DUMMYFUNCTION("""COMPUTED_VALUE"""),"OP03")</f>
        <v/>
      </c>
      <c r="F24" s="15">
        <f>IFERROR(__xludf.DUMMYFUNCTION("""COMPUTED_VALUE"""),"x")</f>
        <v/>
      </c>
      <c r="G24" s="15">
        <f>IFERROR(__xludf.DUMMYFUNCTION("""COMPUTED_VALUE"""),"MBS")</f>
        <v/>
      </c>
      <c r="H24" s="15">
        <f>IFERROR(__xludf.DUMMYFUNCTION("""COMPUTED_VALUE"""),"MBS")</f>
        <v/>
      </c>
      <c r="I24" s="16">
        <f>IFERROR(__xludf.DUMMYFUNCTION("""COMPUTED_VALUE"""),"3 tháng")</f>
        <v/>
      </c>
      <c r="J24" s="16">
        <f>IFERROR(__xludf.DUMMYFUNCTION("""COMPUTED_VALUE"""),"3 tháng")</f>
        <v/>
      </c>
      <c r="K24" s="46">
        <f>IFERROR(__xludf.DUMMYFUNCTION("""COMPUTED_VALUE"""),4300000)</f>
        <v/>
      </c>
      <c r="L24" s="46" t="n"/>
      <c r="M24" s="2">
        <f>IFERROR(__xludf.DUMMYFUNCTION("""COMPUTED_VALUE"""),"Ngưng SD")</f>
        <v/>
      </c>
      <c r="N24" s="2" t="n"/>
      <c r="O24" s="10" t="n"/>
      <c r="P24" s="2" t="n"/>
      <c r="Q24" s="45" t="n"/>
      <c r="R24" s="45" t="n"/>
    </row>
    <row r="25">
      <c r="A25" s="7">
        <f>IFERROR(__xludf.DUMMYFUNCTION("""COMPUTED_VALUE"""),22)</f>
        <v/>
      </c>
      <c r="B25" s="13">
        <f>IFERROR(__xludf.DUMMYFUNCTION("""COMPUTED_VALUE"""),"Unity")</f>
        <v/>
      </c>
      <c r="C25" s="55" t="n"/>
      <c r="D25" s="14" t="n"/>
      <c r="E25" s="14">
        <f>IFERROR(__xludf.DUMMYFUNCTION("""COMPUTED_VALUE"""),"OP06")</f>
        <v/>
      </c>
      <c r="F25" s="15">
        <f>IFERROR(__xludf.DUMMYFUNCTION("""COMPUTED_VALUE"""),"x")</f>
        <v/>
      </c>
      <c r="G25" s="15">
        <f>IFERROR(__xludf.DUMMYFUNCTION("""COMPUTED_VALUE"""),"MBS")</f>
        <v/>
      </c>
      <c r="H25" s="15">
        <f>IFERROR(__xludf.DUMMYFUNCTION("""COMPUTED_VALUE"""),"MBS")</f>
        <v/>
      </c>
      <c r="I25" s="16">
        <f>IFERROR(__xludf.DUMMYFUNCTION("""COMPUTED_VALUE"""),"6 tháng")</f>
        <v/>
      </c>
      <c r="J25" s="16">
        <f>IFERROR(__xludf.DUMMYFUNCTION("""COMPUTED_VALUE"""),"6 tháng")</f>
        <v/>
      </c>
      <c r="K25" s="46">
        <f>IFERROR(__xludf.DUMMYFUNCTION("""COMPUTED_VALUE"""),8000000)</f>
        <v/>
      </c>
      <c r="L25" s="46" t="n"/>
      <c r="M25" s="2">
        <f>IFERROR(__xludf.DUMMYFUNCTION("""COMPUTED_VALUE"""),"Ngưng SD")</f>
        <v/>
      </c>
      <c r="N25" s="2" t="n"/>
      <c r="O25" s="10" t="n"/>
      <c r="P25" s="2" t="n"/>
      <c r="Q25" s="45" t="n"/>
      <c r="R25" s="45" t="n"/>
    </row>
    <row r="26">
      <c r="A26" s="7">
        <f>IFERROR(__xludf.DUMMYFUNCTION("""COMPUTED_VALUE"""),23)</f>
        <v/>
      </c>
      <c r="B26" s="13">
        <f>IFERROR(__xludf.DUMMYFUNCTION("""COMPUTED_VALUE"""),"Unity")</f>
        <v/>
      </c>
      <c r="C26" s="56" t="n"/>
      <c r="D26" s="14" t="n"/>
      <c r="E26" s="14">
        <f>IFERROR(__xludf.DUMMYFUNCTION("""COMPUTED_VALUE"""),"OP12")</f>
        <v/>
      </c>
      <c r="F26" s="15">
        <f>IFERROR(__xludf.DUMMYFUNCTION("""COMPUTED_VALUE"""),"x")</f>
        <v/>
      </c>
      <c r="G26" s="15">
        <f>IFERROR(__xludf.DUMMYFUNCTION("""COMPUTED_VALUE"""),"MBS")</f>
        <v/>
      </c>
      <c r="H26" s="15">
        <f>IFERROR(__xludf.DUMMYFUNCTION("""COMPUTED_VALUE"""),"MBS")</f>
        <v/>
      </c>
      <c r="I26" s="16">
        <f>IFERROR(__xludf.DUMMYFUNCTION("""COMPUTED_VALUE"""),"12 tháng")</f>
        <v/>
      </c>
      <c r="J26" s="16">
        <f>IFERROR(__xludf.DUMMYFUNCTION("""COMPUTED_VALUE"""),"12 tháng")</f>
        <v/>
      </c>
      <c r="K26" s="46">
        <f>IFERROR(__xludf.DUMMYFUNCTION("""COMPUTED_VALUE"""),13500000)</f>
        <v/>
      </c>
      <c r="L26" s="46" t="n"/>
      <c r="M26" s="2">
        <f>IFERROR(__xludf.DUMMYFUNCTION("""COMPUTED_VALUE"""),"Ngưng SD")</f>
        <v/>
      </c>
      <c r="N26" s="2" t="n"/>
      <c r="O26" s="10" t="n"/>
      <c r="P26" s="2" t="n"/>
      <c r="Q26" s="45" t="n"/>
      <c r="R26" s="45" t="n"/>
    </row>
    <row r="27">
      <c r="A27" s="7">
        <f>IFERROR(__xludf.DUMMYFUNCTION("""COMPUTED_VALUE"""),24)</f>
        <v/>
      </c>
      <c r="B27" s="8">
        <f>IFERROR(__xludf.DUMMYFUNCTION("""COMPUTED_VALUE"""),"Unity")</f>
        <v/>
      </c>
      <c r="C27" s="51" t="n"/>
      <c r="D27" s="8" t="n"/>
      <c r="E27" s="8">
        <f>IFERROR(__xludf.DUMMYFUNCTION("""COMPUTED_VALUE"""),"OP24")</f>
        <v/>
      </c>
      <c r="F27" s="2">
        <f>IFERROR(__xludf.DUMMYFUNCTION("""COMPUTED_VALUE"""),"x")</f>
        <v/>
      </c>
      <c r="G27" s="8">
        <f>IFERROR(__xludf.DUMMYFUNCTION("""COMPUTED_VALUE"""),"MBS")</f>
        <v/>
      </c>
      <c r="H27" s="8">
        <f>IFERROR(__xludf.DUMMYFUNCTION("""COMPUTED_VALUE"""),"MBS")</f>
        <v/>
      </c>
      <c r="I27" s="9">
        <f>IFERROR(__xludf.DUMMYFUNCTION("""COMPUTED_VALUE"""),"24 tháng")</f>
        <v/>
      </c>
      <c r="J27" s="9">
        <f>IFERROR(__xludf.DUMMYFUNCTION("""COMPUTED_VALUE"""),"24 tháng")</f>
        <v/>
      </c>
      <c r="K27" s="43">
        <f>IFERROR(__xludf.DUMMYFUNCTION("""COMPUTED_VALUE"""),20500000)</f>
        <v/>
      </c>
      <c r="L27" s="43" t="n"/>
      <c r="M27" s="2">
        <f>IFERROR(__xludf.DUMMYFUNCTION("""COMPUTED_VALUE"""),"Ngưng SD")</f>
        <v/>
      </c>
      <c r="N27" s="2" t="n"/>
      <c r="O27" s="10" t="n"/>
      <c r="P27" s="2" t="n"/>
      <c r="Q27" s="45" t="n"/>
      <c r="R27" s="45" t="n"/>
    </row>
    <row r="28">
      <c r="A28" s="7">
        <f>IFERROR(__xludf.DUMMYFUNCTION("""COMPUTED_VALUE"""),25)</f>
        <v/>
      </c>
      <c r="B28" s="8">
        <f>IFERROR(__xludf.DUMMYFUNCTION("""COMPUTED_VALUE"""),"Unity")</f>
        <v/>
      </c>
      <c r="C28" s="51">
        <f>IFERROR(__xludf.DUMMYFUNCTION("""COMPUTED_VALUE"""),"Weekend Packega 12 tháng Full dịch vụ")</f>
        <v/>
      </c>
      <c r="D28" s="8" t="n"/>
      <c r="E28" s="8">
        <f>IFERROR(__xludf.DUMMYFUNCTION("""COMPUTED_VALUE"""),"WK12")</f>
        <v/>
      </c>
      <c r="F28" s="2">
        <f>IFERROR(__xludf.DUMMYFUNCTION("""COMPUTED_VALUE"""),"x")</f>
        <v/>
      </c>
      <c r="G28" s="8">
        <f>IFERROR(__xludf.DUMMYFUNCTION("""COMPUTED_VALUE"""),"MBS")</f>
        <v/>
      </c>
      <c r="H28" s="8">
        <f>IFERROR(__xludf.DUMMYFUNCTION("""COMPUTED_VALUE"""),"MBS")</f>
        <v/>
      </c>
      <c r="I28" s="9">
        <f>IFERROR(__xludf.DUMMYFUNCTION("""COMPUTED_VALUE"""),"12 tháng")</f>
        <v/>
      </c>
      <c r="J28" s="9">
        <f>IFERROR(__xludf.DUMMYFUNCTION("""COMPUTED_VALUE"""),"12 tháng")</f>
        <v/>
      </c>
      <c r="K28" s="43">
        <f>IFERROR(__xludf.DUMMYFUNCTION("""COMPUTED_VALUE"""),11100000)</f>
        <v/>
      </c>
      <c r="L28" s="43" t="n"/>
      <c r="M28" s="2">
        <f>IFERROR(__xludf.DUMMYFUNCTION("""COMPUTED_VALUE"""),"Ngưng SD")</f>
        <v/>
      </c>
      <c r="N28" s="2">
        <f>IFERROR(__xludf.DUMMYFUNCTION("""COMPUTED_VALUE"""),20)</f>
        <v/>
      </c>
      <c r="O28" s="10">
        <f>IFERROR(__xludf.DUMMYFUNCTION("""COMPUTED_VALUE"""),"Thẻ Gội đầu dầu thường")</f>
        <v/>
      </c>
      <c r="P28" s="2">
        <f>IFERROR(__xludf.DUMMYFUNCTION("""COMPUTED_VALUE"""),10)</f>
        <v/>
      </c>
      <c r="Q28" s="45">
        <f>IFERROR(__xludf.DUMMYFUNCTION("""COMPUTED_VALUE"""),400000)</f>
        <v/>
      </c>
      <c r="R28" s="45">
        <f>IFERROR(__xludf.DUMMYFUNCTION("""COMPUTED_VALUE"""),40000)</f>
        <v/>
      </c>
    </row>
    <row r="29">
      <c r="A29" s="7">
        <f>IFERROR(__xludf.DUMMYFUNCTION("""COMPUTED_VALUE"""),26)</f>
        <v/>
      </c>
      <c r="B29" s="8">
        <f>IFERROR(__xludf.DUMMYFUNCTION("""COMPUTED_VALUE"""),"Unity")</f>
        <v/>
      </c>
      <c r="C29" s="51">
        <f>IFERROR(__xludf.DUMMYFUNCTION("""COMPUTED_VALUE"""),"Weekend Packega 24 tháng Full dịch vụ")</f>
        <v/>
      </c>
      <c r="D29" s="8" t="n"/>
      <c r="E29" s="8">
        <f>IFERROR(__xludf.DUMMYFUNCTION("""COMPUTED_VALUE"""),"WK24")</f>
        <v/>
      </c>
      <c r="F29" s="2">
        <f>IFERROR(__xludf.DUMMYFUNCTION("""COMPUTED_VALUE"""),"x")</f>
        <v/>
      </c>
      <c r="G29" s="8">
        <f>IFERROR(__xludf.DUMMYFUNCTION("""COMPUTED_VALUE"""),"MBS")</f>
        <v/>
      </c>
      <c r="H29" s="8">
        <f>IFERROR(__xludf.DUMMYFUNCTION("""COMPUTED_VALUE"""),"MBS")</f>
        <v/>
      </c>
      <c r="I29" s="9">
        <f>IFERROR(__xludf.DUMMYFUNCTION("""COMPUTED_VALUE"""),"24 tháng")</f>
        <v/>
      </c>
      <c r="J29" s="9">
        <f>IFERROR(__xludf.DUMMYFUNCTION("""COMPUTED_VALUE"""),"24 tháng")</f>
        <v/>
      </c>
      <c r="K29" s="43">
        <f>IFERROR(__xludf.DUMMYFUNCTION("""COMPUTED_VALUE"""),17250000)</f>
        <v/>
      </c>
      <c r="L29" s="43" t="n"/>
      <c r="M29" s="2">
        <f>IFERROR(__xludf.DUMMYFUNCTION("""COMPUTED_VALUE"""),"Ngưng SD")</f>
        <v/>
      </c>
      <c r="N29" s="2">
        <f>IFERROR(__xludf.DUMMYFUNCTION("""COMPUTED_VALUE"""),21)</f>
        <v/>
      </c>
      <c r="O29" s="11">
        <f>IFERROR(__xludf.DUMMYFUNCTION("""COMPUTED_VALUE"""),"Thẻ Gội đầu dầu cặp")</f>
        <v/>
      </c>
      <c r="P29" s="2">
        <f>IFERROR(__xludf.DUMMYFUNCTION("""COMPUTED_VALUE"""),10)</f>
        <v/>
      </c>
      <c r="Q29" s="44">
        <f>IFERROR(__xludf.DUMMYFUNCTION("""COMPUTED_VALUE"""),700000)</f>
        <v/>
      </c>
      <c r="R29" s="45">
        <f>IFERROR(__xludf.DUMMYFUNCTION("""COMPUTED_VALUE"""),70000)</f>
        <v/>
      </c>
    </row>
    <row r="30">
      <c r="A30" s="7">
        <f>IFERROR(__xludf.DUMMYFUNCTION("""COMPUTED_VALUE"""),27)</f>
        <v/>
      </c>
      <c r="B30" s="8">
        <f>IFERROR(__xludf.DUMMYFUNCTION("""COMPUTED_VALUE"""),"Unity")</f>
        <v/>
      </c>
      <c r="C30" s="51">
        <f>IFERROR(__xludf.DUMMYFUNCTION("""COMPUTED_VALUE"""),"Vé ngày dịch vụ (Gold)")</f>
        <v/>
      </c>
      <c r="D30" s="8">
        <f>IFERROR(__xludf.DUMMYFUNCTION("""COMPUTED_VALUE"""),"DAILY")</f>
        <v/>
      </c>
      <c r="E30" s="8">
        <f>IFERROR(__xludf.DUMMYFUNCTION("""COMPUTED_VALUE"""),"DAILY")</f>
        <v/>
      </c>
      <c r="F30" s="2">
        <f>IFERROR(__xludf.DUMMYFUNCTION("""COMPUTED_VALUE"""),"xxx")</f>
        <v/>
      </c>
      <c r="G30" s="8">
        <f>IFERROR(__xludf.DUMMYFUNCTION("""COMPUTED_VALUE"""),"MBS")</f>
        <v/>
      </c>
      <c r="H30" s="8">
        <f>IFERROR(__xludf.DUMMYFUNCTION("""COMPUTED_VALUE"""),"DAILY")</f>
        <v/>
      </c>
      <c r="I30" s="9">
        <f>IFERROR(__xludf.DUMMYFUNCTION("""COMPUTED_VALUE"""),"1 ngày")</f>
        <v/>
      </c>
      <c r="J30" s="9">
        <f>IFERROR(__xludf.DUMMYFUNCTION("""COMPUTED_VALUE"""),"1 ngày")</f>
        <v/>
      </c>
      <c r="K30" s="43">
        <f>IFERROR(__xludf.DUMMYFUNCTION("""COMPUTED_VALUE"""),250000)</f>
        <v/>
      </c>
      <c r="L30" s="43" t="n"/>
      <c r="M30" s="2">
        <f>IFERROR(__xludf.DUMMYFUNCTION("""COMPUTED_VALUE"""),"")</f>
        <v/>
      </c>
      <c r="N30" s="2">
        <f>IFERROR(__xludf.DUMMYFUNCTION("""COMPUTED_VALUE"""),21)</f>
        <v/>
      </c>
      <c r="O30" s="11">
        <f>IFERROR(__xludf.DUMMYFUNCTION("""COMPUTED_VALUE"""),"Thẻ Ngân chân thuốc Bắc lần")</f>
        <v/>
      </c>
      <c r="P30" s="2" t="n"/>
      <c r="Q30" s="12" t="n"/>
      <c r="R30" s="45" t="n"/>
    </row>
    <row r="31">
      <c r="A31" s="7">
        <f>IFERROR(__xludf.DUMMYFUNCTION("""COMPUTED_VALUE"""),28)</f>
        <v/>
      </c>
      <c r="B31" s="8">
        <f>IFERROR(__xludf.DUMMYFUNCTION("""COMPUTED_VALUE"""),"Unity")</f>
        <v/>
      </c>
      <c r="C31" s="51">
        <f>IFERROR(__xludf.DUMMYFUNCTION("""COMPUTED_VALUE"""),"Vé ngày dịch vụ (Gold) theo buổi")</f>
        <v/>
      </c>
      <c r="D31" s="8">
        <f>IFERROR(__xludf.DUMMYFUNCTION("""COMPUTED_VALUE"""),"DAILYX")</f>
        <v/>
      </c>
      <c r="E31" s="8">
        <f>IFERROR(__xludf.DUMMYFUNCTION("""COMPUTED_VALUE"""),"DAILYX")</f>
        <v/>
      </c>
      <c r="F31" s="2">
        <f>IFERROR(__xludf.DUMMYFUNCTION("""COMPUTED_VALUE"""),"xx")</f>
        <v/>
      </c>
      <c r="G31" s="8">
        <f>IFERROR(__xludf.DUMMYFUNCTION("""COMPUTED_VALUE"""),"MBS")</f>
        <v/>
      </c>
      <c r="H31" s="8">
        <f>IFERROR(__xludf.DUMMYFUNCTION("""COMPUTED_VALUE"""),"MBS")</f>
        <v/>
      </c>
      <c r="I31" s="9">
        <f>IFERROR(__xludf.DUMMYFUNCTION("""COMPUTED_VALUE"""),"1 ngày")</f>
        <v/>
      </c>
      <c r="J31" s="9">
        <f>IFERROR(__xludf.DUMMYFUNCTION("""COMPUTED_VALUE"""),"1 ngày")</f>
        <v/>
      </c>
      <c r="K31" s="43">
        <f>IFERROR(__xludf.DUMMYFUNCTION("""COMPUTED_VALUE"""),250000)</f>
        <v/>
      </c>
      <c r="L31" s="43" t="n"/>
      <c r="M31" s="2">
        <f>IFERROR(__xludf.DUMMYFUNCTION("""COMPUTED_VALUE"""),"")</f>
        <v/>
      </c>
      <c r="N31" s="2">
        <f>IFERROR(__xludf.DUMMYFUNCTION("""COMPUTED_VALUE"""),22)</f>
        <v/>
      </c>
      <c r="O31" s="11">
        <f>IFERROR(__xludf.DUMMYFUNCTION("""COMPUTED_VALUE"""),"Thẻ Ngân chân thuốc Bắc lần")</f>
        <v/>
      </c>
      <c r="P31" s="2" t="n"/>
      <c r="Q31" s="12" t="n"/>
      <c r="R31" s="45" t="n"/>
    </row>
    <row r="32">
      <c r="A32" s="7">
        <f>IFERROR(__xludf.DUMMYFUNCTION("""COMPUTED_VALUE"""),29)</f>
        <v/>
      </c>
      <c r="B32" s="8">
        <f>IFERROR(__xludf.DUMMYFUNCTION("""COMPUTED_VALUE"""),"Unity")</f>
        <v/>
      </c>
      <c r="C32" s="52" t="n"/>
      <c r="D32" s="8" t="n"/>
      <c r="E32" s="8">
        <f>IFERROR(__xludf.DUMMYFUNCTION("""COMPUTED_VALUE"""),"FML12.2.12")</f>
        <v/>
      </c>
      <c r="F32" s="2">
        <f>IFERROR(__xludf.DUMMYFUNCTION("""COMPUTED_VALUE"""),"x")</f>
        <v/>
      </c>
      <c r="G32" s="8">
        <f>IFERROR(__xludf.DUMMYFUNCTION("""COMPUTED_VALUE"""),"MBS")</f>
        <v/>
      </c>
      <c r="H32" s="8">
        <f>IFERROR(__xludf.DUMMYFUNCTION("""COMPUTED_VALUE"""),"MBS")</f>
        <v/>
      </c>
      <c r="I32" s="9">
        <f>IFERROR(__xludf.DUMMYFUNCTION("""COMPUTED_VALUE"""),"12 tháng")</f>
        <v/>
      </c>
      <c r="J32" s="9">
        <f>IFERROR(__xludf.DUMMYFUNCTION("""COMPUTED_VALUE"""),"Gia đình 2 người")</f>
        <v/>
      </c>
      <c r="K32" s="43">
        <f>IFERROR(__xludf.DUMMYFUNCTION("""COMPUTED_VALUE"""),21500000)</f>
        <v/>
      </c>
      <c r="L32" s="43">
        <f>IFERROR(__xludf.DUMMYFUNCTION("""COMPUTED_VALUE"""),43000000)</f>
        <v/>
      </c>
      <c r="M32" s="2">
        <f>IFERROR(__xludf.DUMMYFUNCTION("""COMPUTED_VALUE"""),"Ngưng SD")</f>
        <v/>
      </c>
      <c r="N32" s="2">
        <f>IFERROR(__xludf.DUMMYFUNCTION("""COMPUTED_VALUE"""),23)</f>
        <v/>
      </c>
      <c r="O32" s="11">
        <f>IFERROR(__xludf.DUMMYFUNCTION("""COMPUTED_VALUE"""),"Thẻ Massage bấm huyệt chân lần")</f>
        <v/>
      </c>
      <c r="P32" s="2" t="n"/>
      <c r="Q32" s="12" t="n"/>
      <c r="R32" s="45" t="n"/>
    </row>
    <row r="33">
      <c r="A33" s="7">
        <f>IFERROR(__xludf.DUMMYFUNCTION("""COMPUTED_VALUE"""),30)</f>
        <v/>
      </c>
      <c r="B33" s="8">
        <f>IFERROR(__xludf.DUMMYFUNCTION("""COMPUTED_VALUE"""),"Unity")</f>
        <v/>
      </c>
      <c r="C33" s="52" t="n"/>
      <c r="D33" s="8" t="n"/>
      <c r="E33" s="8">
        <f>IFERROR(__xludf.DUMMYFUNCTION("""COMPUTED_VALUE"""),"FML12.3.12")</f>
        <v/>
      </c>
      <c r="F33" s="2">
        <f>IFERROR(__xludf.DUMMYFUNCTION("""COMPUTED_VALUE"""),"x")</f>
        <v/>
      </c>
      <c r="G33" s="8">
        <f>IFERROR(__xludf.DUMMYFUNCTION("""COMPUTED_VALUE"""),"MBS")</f>
        <v/>
      </c>
      <c r="H33" s="8">
        <f>IFERROR(__xludf.DUMMYFUNCTION("""COMPUTED_VALUE"""),"MBS")</f>
        <v/>
      </c>
      <c r="I33" s="9">
        <f>IFERROR(__xludf.DUMMYFUNCTION("""COMPUTED_VALUE"""),"12 tháng")</f>
        <v/>
      </c>
      <c r="J33" s="9">
        <f>IFERROR(__xludf.DUMMYFUNCTION("""COMPUTED_VALUE"""),"Gia đình 3 người")</f>
        <v/>
      </c>
      <c r="K33" s="43">
        <f>IFERROR(__xludf.DUMMYFUNCTION("""COMPUTED_VALUE"""),21000000)</f>
        <v/>
      </c>
      <c r="L33" s="43">
        <f>IFERROR(__xludf.DUMMYFUNCTION("""COMPUTED_VALUE"""),63000000)</f>
        <v/>
      </c>
      <c r="M33" s="2">
        <f>IFERROR(__xludf.DUMMYFUNCTION("""COMPUTED_VALUE"""),"Ngưng SD")</f>
        <v/>
      </c>
      <c r="N33" s="2">
        <f>IFERROR(__xludf.DUMMYFUNCTION("""COMPUTED_VALUE"""),24)</f>
        <v/>
      </c>
      <c r="O33" s="11">
        <f>IFERROR(__xludf.DUMMYFUNCTION("""COMPUTED_VALUE"""),"Thẻ Massage body Nữ lần")</f>
        <v/>
      </c>
      <c r="P33" s="2" t="n"/>
      <c r="Q33" s="12" t="n"/>
      <c r="R33" s="45" t="n"/>
    </row>
    <row r="34">
      <c r="A34" s="7">
        <f>IFERROR(__xludf.DUMMYFUNCTION("""COMPUTED_VALUE"""),31)</f>
        <v/>
      </c>
      <c r="B34" s="8">
        <f>IFERROR(__xludf.DUMMYFUNCTION("""COMPUTED_VALUE"""),"Unity")</f>
        <v/>
      </c>
      <c r="C34" s="53" t="n"/>
      <c r="D34" s="8" t="n"/>
      <c r="E34" s="8">
        <f>IFERROR(__xludf.DUMMYFUNCTION("""COMPUTED_VALUE"""),"FML12.4.12")</f>
        <v/>
      </c>
      <c r="F34" s="2">
        <f>IFERROR(__xludf.DUMMYFUNCTION("""COMPUTED_VALUE"""),"x")</f>
        <v/>
      </c>
      <c r="G34" s="8">
        <f>IFERROR(__xludf.DUMMYFUNCTION("""COMPUTED_VALUE"""),"MBS")</f>
        <v/>
      </c>
      <c r="H34" s="8">
        <f>IFERROR(__xludf.DUMMYFUNCTION("""COMPUTED_VALUE"""),"MBS")</f>
        <v/>
      </c>
      <c r="I34" s="9">
        <f>IFERROR(__xludf.DUMMYFUNCTION("""COMPUTED_VALUE"""),"12 tháng")</f>
        <v/>
      </c>
      <c r="J34" s="9">
        <f>IFERROR(__xludf.DUMMYFUNCTION("""COMPUTED_VALUE"""),"Gia đình 4 người")</f>
        <v/>
      </c>
      <c r="K34" s="43">
        <f>IFERROR(__xludf.DUMMYFUNCTION("""COMPUTED_VALUE"""),20500000)</f>
        <v/>
      </c>
      <c r="L34" s="43">
        <f>IFERROR(__xludf.DUMMYFUNCTION("""COMPUTED_VALUE"""),82000000)</f>
        <v/>
      </c>
      <c r="M34" s="2">
        <f>IFERROR(__xludf.DUMMYFUNCTION("""COMPUTED_VALUE"""),"Ngưng SD")</f>
        <v/>
      </c>
      <c r="N34" s="2">
        <f>IFERROR(__xludf.DUMMYFUNCTION("""COMPUTED_VALUE"""),25)</f>
        <v/>
      </c>
      <c r="O34" s="11">
        <f>IFERROR(__xludf.DUMMYFUNCTION("""COMPUTED_VALUE"""),"Thẻ Massage body Nam lần")</f>
        <v/>
      </c>
      <c r="P34" s="2" t="n"/>
      <c r="Q34" s="12" t="n"/>
      <c r="R34" s="45" t="n"/>
    </row>
    <row r="35">
      <c r="A35" s="7">
        <f>IFERROR(__xludf.DUMMYFUNCTION("""COMPUTED_VALUE"""),32)</f>
        <v/>
      </c>
      <c r="B35" s="8">
        <f>IFERROR(__xludf.DUMMYFUNCTION("""COMPUTED_VALUE"""),"Unity")</f>
        <v/>
      </c>
      <c r="C35" s="51" t="n"/>
      <c r="D35" s="8" t="n"/>
      <c r="E35" s="8">
        <f>IFERROR(__xludf.DUMMYFUNCTION("""COMPUTED_VALUE"""),"FML12.5.12")</f>
        <v/>
      </c>
      <c r="F35" s="2">
        <f>IFERROR(__xludf.DUMMYFUNCTION("""COMPUTED_VALUE"""),"x")</f>
        <v/>
      </c>
      <c r="G35" s="8">
        <f>IFERROR(__xludf.DUMMYFUNCTION("""COMPUTED_VALUE"""),"MBS")</f>
        <v/>
      </c>
      <c r="H35" s="8">
        <f>IFERROR(__xludf.DUMMYFUNCTION("""COMPUTED_VALUE"""),"MBS")</f>
        <v/>
      </c>
      <c r="I35" s="9">
        <f>IFERROR(__xludf.DUMMYFUNCTION("""COMPUTED_VALUE"""),"12 tháng")</f>
        <v/>
      </c>
      <c r="J35" s="9">
        <f>IFERROR(__xludf.DUMMYFUNCTION("""COMPUTED_VALUE"""),"Gia đình 5 người")</f>
        <v/>
      </c>
      <c r="K35" s="43">
        <f>IFERROR(__xludf.DUMMYFUNCTION("""COMPUTED_VALUE"""),19980000)</f>
        <v/>
      </c>
      <c r="L35" s="43">
        <f>IFERROR(__xludf.DUMMYFUNCTION("""COMPUTED_VALUE"""),99900000)</f>
        <v/>
      </c>
      <c r="M35" s="2">
        <f>IFERROR(__xludf.DUMMYFUNCTION("""COMPUTED_VALUE"""),"Ngưng SD")</f>
        <v/>
      </c>
      <c r="N35" s="2">
        <f>IFERROR(__xludf.DUMMYFUNCTION("""COMPUTED_VALUE"""),26)</f>
        <v/>
      </c>
      <c r="O35" s="11">
        <f>IFERROR(__xludf.DUMMYFUNCTION("""COMPUTED_VALUE"""),"Thẻ Massage Uper body Nữ lần")</f>
        <v/>
      </c>
      <c r="P35" s="2" t="n"/>
      <c r="Q35" s="12" t="n"/>
      <c r="R35" s="45" t="n"/>
    </row>
    <row r="36">
      <c r="A36" s="7">
        <f>IFERROR(__xludf.DUMMYFUNCTION("""COMPUTED_VALUE"""),33)</f>
        <v/>
      </c>
      <c r="B36" s="8">
        <f>IFERROR(__xludf.DUMMYFUNCTION("""COMPUTED_VALUE"""),"Unity")</f>
        <v/>
      </c>
      <c r="C36" s="52" t="n"/>
      <c r="D36" s="8" t="n"/>
      <c r="E36" s="8">
        <f>IFERROR(__xludf.DUMMYFUNCTION("""COMPUTED_VALUE"""),"FML24.2.24")</f>
        <v/>
      </c>
      <c r="F36" s="2">
        <f>IFERROR(__xludf.DUMMYFUNCTION("""COMPUTED_VALUE"""),"x")</f>
        <v/>
      </c>
      <c r="G36" s="8">
        <f>IFERROR(__xludf.DUMMYFUNCTION("""COMPUTED_VALUE"""),"MBS")</f>
        <v/>
      </c>
      <c r="H36" s="8">
        <f>IFERROR(__xludf.DUMMYFUNCTION("""COMPUTED_VALUE"""),"MBS")</f>
        <v/>
      </c>
      <c r="I36" s="9">
        <f>IFERROR(__xludf.DUMMYFUNCTION("""COMPUTED_VALUE"""),"24 tháng")</f>
        <v/>
      </c>
      <c r="J36" s="9">
        <f>IFERROR(__xludf.DUMMYFUNCTION("""COMPUTED_VALUE"""),"Gia đình 2 người")</f>
        <v/>
      </c>
      <c r="K36" s="43">
        <f>IFERROR(__xludf.DUMMYFUNCTION("""COMPUTED_VALUE"""),33500000)</f>
        <v/>
      </c>
      <c r="L36" s="43">
        <f>IFERROR(__xludf.DUMMYFUNCTION("""COMPUTED_VALUE"""),67000000)</f>
        <v/>
      </c>
      <c r="M36" s="2">
        <f>IFERROR(__xludf.DUMMYFUNCTION("""COMPUTED_VALUE"""),"Ngưng SD")</f>
        <v/>
      </c>
      <c r="N36" s="2">
        <f>IFERROR(__xludf.DUMMYFUNCTION("""COMPUTED_VALUE"""),27)</f>
        <v/>
      </c>
      <c r="O36" s="10">
        <f>IFERROR(__xludf.DUMMYFUNCTION("""COMPUTED_VALUE"""),"Thẻ Massage Uper body Nam lần")</f>
        <v/>
      </c>
      <c r="P36" s="2" t="n"/>
      <c r="Q36" s="12" t="n"/>
      <c r="R36" s="45" t="n"/>
    </row>
    <row r="37">
      <c r="A37" s="7">
        <f>IFERROR(__xludf.DUMMYFUNCTION("""COMPUTED_VALUE"""),34)</f>
        <v/>
      </c>
      <c r="B37" s="8">
        <f>IFERROR(__xludf.DUMMYFUNCTION("""COMPUTED_VALUE"""),"Unity")</f>
        <v/>
      </c>
      <c r="C37" s="52" t="n"/>
      <c r="D37" s="8" t="n"/>
      <c r="E37" s="8">
        <f>IFERROR(__xludf.DUMMYFUNCTION("""COMPUTED_VALUE"""),"FML24.3.24")</f>
        <v/>
      </c>
      <c r="F37" s="2">
        <f>IFERROR(__xludf.DUMMYFUNCTION("""COMPUTED_VALUE"""),"x")</f>
        <v/>
      </c>
      <c r="G37" s="8">
        <f>IFERROR(__xludf.DUMMYFUNCTION("""COMPUTED_VALUE"""),"MBS")</f>
        <v/>
      </c>
      <c r="H37" s="8">
        <f>IFERROR(__xludf.DUMMYFUNCTION("""COMPUTED_VALUE"""),"MBS")</f>
        <v/>
      </c>
      <c r="I37" s="9">
        <f>IFERROR(__xludf.DUMMYFUNCTION("""COMPUTED_VALUE"""),"24 tháng")</f>
        <v/>
      </c>
      <c r="J37" s="9">
        <f>IFERROR(__xludf.DUMMYFUNCTION("""COMPUTED_VALUE"""),"Gia đình 3 người")</f>
        <v/>
      </c>
      <c r="K37" s="43">
        <f>IFERROR(__xludf.DUMMYFUNCTION("""COMPUTED_VALUE"""),32700000)</f>
        <v/>
      </c>
      <c r="L37" s="43">
        <f>IFERROR(__xludf.DUMMYFUNCTION("""COMPUTED_VALUE"""),98100000)</f>
        <v/>
      </c>
      <c r="M37" s="2">
        <f>IFERROR(__xludf.DUMMYFUNCTION("""COMPUTED_VALUE"""),"Ngưng SD")</f>
        <v/>
      </c>
      <c r="N37" s="2">
        <f>IFERROR(__xludf.DUMMYFUNCTION("""COMPUTED_VALUE"""),28)</f>
        <v/>
      </c>
      <c r="O37" s="10">
        <f>IFERROR(__xludf.DUMMYFUNCTION("""COMPUTED_VALUE"""),"Thẻ Gội đầu dầu thường lần")</f>
        <v/>
      </c>
      <c r="P37" s="2" t="n"/>
      <c r="Q37" s="17" t="n"/>
      <c r="R37" s="45" t="n"/>
    </row>
    <row r="38">
      <c r="A38" s="7">
        <f>IFERROR(__xludf.DUMMYFUNCTION("""COMPUTED_VALUE"""),35)</f>
        <v/>
      </c>
      <c r="B38" s="8">
        <f>IFERROR(__xludf.DUMMYFUNCTION("""COMPUTED_VALUE"""),"Unity")</f>
        <v/>
      </c>
      <c r="C38" s="53" t="n"/>
      <c r="D38" s="8" t="n"/>
      <c r="E38" s="8">
        <f>IFERROR(__xludf.DUMMYFUNCTION("""COMPUTED_VALUE"""),"FML24.4.24")</f>
        <v/>
      </c>
      <c r="F38" s="2">
        <f>IFERROR(__xludf.DUMMYFUNCTION("""COMPUTED_VALUE"""),"x")</f>
        <v/>
      </c>
      <c r="G38" s="8">
        <f>IFERROR(__xludf.DUMMYFUNCTION("""COMPUTED_VALUE"""),"MBS")</f>
        <v/>
      </c>
      <c r="H38" s="8">
        <f>IFERROR(__xludf.DUMMYFUNCTION("""COMPUTED_VALUE"""),"MBS")</f>
        <v/>
      </c>
      <c r="I38" s="9">
        <f>IFERROR(__xludf.DUMMYFUNCTION("""COMPUTED_VALUE"""),"24 tháng")</f>
        <v/>
      </c>
      <c r="J38" s="9">
        <f>IFERROR(__xludf.DUMMYFUNCTION("""COMPUTED_VALUE"""),"Gia đình 4 người")</f>
        <v/>
      </c>
      <c r="K38" s="43">
        <f>IFERROR(__xludf.DUMMYFUNCTION("""COMPUTED_VALUE"""),31875000)</f>
        <v/>
      </c>
      <c r="L38" s="43">
        <f>IFERROR(__xludf.DUMMYFUNCTION("""COMPUTED_VALUE"""),127500000)</f>
        <v/>
      </c>
      <c r="M38" s="2">
        <f>IFERROR(__xludf.DUMMYFUNCTION("""COMPUTED_VALUE"""),"Ngưng SD")</f>
        <v/>
      </c>
      <c r="N38" s="2">
        <f>IFERROR(__xludf.DUMMYFUNCTION("""COMPUTED_VALUE"""),29)</f>
        <v/>
      </c>
      <c r="O38" s="11">
        <f>IFERROR(__xludf.DUMMYFUNCTION("""COMPUTED_VALUE"""),"Thẻ Gội đầu dầu cặp lần")</f>
        <v/>
      </c>
      <c r="P38" s="2" t="n"/>
      <c r="Q38" s="12" t="n"/>
      <c r="R38" s="45" t="n"/>
    </row>
    <row r="39">
      <c r="A39" s="7">
        <f>IFERROR(__xludf.DUMMYFUNCTION("""COMPUTED_VALUE"""),36)</f>
        <v/>
      </c>
      <c r="B39" s="8">
        <f>IFERROR(__xludf.DUMMYFUNCTION("""COMPUTED_VALUE"""),"Unity")</f>
        <v/>
      </c>
      <c r="C39" s="51" t="n"/>
      <c r="D39" s="8" t="n"/>
      <c r="E39" s="8">
        <f>IFERROR(__xludf.DUMMYFUNCTION("""COMPUTED_VALUE"""),"FML24.5.24")</f>
        <v/>
      </c>
      <c r="F39" s="2">
        <f>IFERROR(__xludf.DUMMYFUNCTION("""COMPUTED_VALUE"""),"x")</f>
        <v/>
      </c>
      <c r="G39" s="8">
        <f>IFERROR(__xludf.DUMMYFUNCTION("""COMPUTED_VALUE"""),"MBS")</f>
        <v/>
      </c>
      <c r="H39" s="8">
        <f>IFERROR(__xludf.DUMMYFUNCTION("""COMPUTED_VALUE"""),"MBS")</f>
        <v/>
      </c>
      <c r="I39" s="18">
        <f>IFERROR(__xludf.DUMMYFUNCTION("""COMPUTED_VALUE"""),"24 tháng")</f>
        <v/>
      </c>
      <c r="J39" s="18">
        <f>IFERROR(__xludf.DUMMYFUNCTION("""COMPUTED_VALUE"""),"Gia đình 5 người")</f>
        <v/>
      </c>
      <c r="K39" s="43">
        <f>IFERROR(__xludf.DUMMYFUNCTION("""COMPUTED_VALUE"""),31000000)</f>
        <v/>
      </c>
      <c r="L39" s="43">
        <f>IFERROR(__xludf.DUMMYFUNCTION("""COMPUTED_VALUE"""),155000000)</f>
        <v/>
      </c>
      <c r="M39" s="2">
        <f>IFERROR(__xludf.DUMMYFUNCTION("""COMPUTED_VALUE"""),"Ngưng SD")</f>
        <v/>
      </c>
      <c r="N39" s="2">
        <f>IFERROR(__xludf.DUMMYFUNCTION("""COMPUTED_VALUE"""),30)</f>
        <v/>
      </c>
      <c r="O39" s="11" t="n"/>
      <c r="P39" s="2" t="n"/>
      <c r="Q39" s="12" t="n"/>
      <c r="R39" s="45" t="n"/>
    </row>
    <row r="40">
      <c r="A40" s="7">
        <f>IFERROR(__xludf.DUMMYFUNCTION("""COMPUTED_VALUE"""),37)</f>
        <v/>
      </c>
      <c r="B40" s="8">
        <f>IFERROR(__xludf.DUMMYFUNCTION("""COMPUTED_VALUE"""),"Unity")</f>
        <v/>
      </c>
      <c r="C40" s="51">
        <f>IFERROR(__xludf.DUMMYFUNCTION("""COMPUTED_VALUE"""),"PT gym 1 kèm 1")</f>
        <v/>
      </c>
      <c r="D40" s="8" t="n"/>
      <c r="E40" s="8">
        <f>IFERROR(__xludf.DUMMYFUNCTION("""COMPUTED_VALUE"""),"PTG")</f>
        <v/>
      </c>
      <c r="F40" s="2">
        <f>IFERROR(__xludf.DUMMYFUNCTION("""COMPUTED_VALUE"""),"xx")</f>
        <v/>
      </c>
      <c r="G40" s="8">
        <f>IFERROR(__xludf.DUMMYFUNCTION("""COMPUTED_VALUE"""),"PT")</f>
        <v/>
      </c>
      <c r="H40" s="8">
        <f>IFERROR(__xludf.DUMMYFUNCTION("""COMPUTED_VALUE"""),"PT")</f>
        <v/>
      </c>
      <c r="I40" s="18">
        <f>IFERROR(__xludf.DUMMYFUNCTION("""COMPUTED_VALUE"""),"Buổi tập")</f>
        <v/>
      </c>
      <c r="J40" s="18">
        <f>IFERROR(__xludf.DUMMYFUNCTION("""COMPUTED_VALUE"""),"1 kèm 1")</f>
        <v/>
      </c>
      <c r="K40" s="43">
        <f>IFERROR(__xludf.DUMMYFUNCTION("""COMPUTED_VALUE"""),800000)</f>
        <v/>
      </c>
      <c r="L40" s="43" t="n"/>
      <c r="M40" s="2">
        <f>IFERROR(__xludf.DUMMYFUNCTION("""COMPUTED_VALUE"""),"Ngưng SD")</f>
        <v/>
      </c>
      <c r="N40" s="2">
        <f>IFERROR(__xludf.DUMMYFUNCTION("""COMPUTED_VALUE"""),30)</f>
        <v/>
      </c>
      <c r="O40" s="11" t="n"/>
      <c r="P40" s="2" t="n"/>
      <c r="Q40" s="12" t="n"/>
      <c r="R40" s="45" t="n"/>
    </row>
    <row r="41">
      <c r="A41" s="7">
        <f>IFERROR(__xludf.DUMMYFUNCTION("""COMPUTED_VALUE"""),38)</f>
        <v/>
      </c>
      <c r="B41" s="8">
        <f>IFERROR(__xludf.DUMMYFUNCTION("""COMPUTED_VALUE"""),"Unity")</f>
        <v/>
      </c>
      <c r="C41" s="51">
        <f>IFERROR(__xludf.DUMMYFUNCTION("""COMPUTED_VALUE"""),"PT gym 1 kèm 1")</f>
        <v/>
      </c>
      <c r="D41" s="8">
        <f>IFERROR(__xludf.DUMMYFUNCTION("""COMPUTED_VALUE"""),"PTG ")</f>
        <v/>
      </c>
      <c r="E41" s="8">
        <f>IFERROR(__xludf.DUMMYFUNCTION("""COMPUTED_VALUE"""),"PTG ")</f>
        <v/>
      </c>
      <c r="F41" s="2">
        <f>IFERROR(__xludf.DUMMYFUNCTION("""COMPUTED_VALUE"""),"xx")</f>
        <v/>
      </c>
      <c r="G41" s="8">
        <f>IFERROR(__xludf.DUMMYFUNCTION("""COMPUTED_VALUE"""),"PT")</f>
        <v/>
      </c>
      <c r="H41" s="8">
        <f>IFERROR(__xludf.DUMMYFUNCTION("""COMPUTED_VALUE"""),"PT")</f>
        <v/>
      </c>
      <c r="I41" s="18">
        <f>IFERROR(__xludf.DUMMYFUNCTION("""COMPUTED_VALUE"""),"Buổi tập")</f>
        <v/>
      </c>
      <c r="J41" s="18">
        <f>IFERROR(__xludf.DUMMYFUNCTION("""COMPUTED_VALUE"""),"1 kèm 1")</f>
        <v/>
      </c>
      <c r="K41" s="43">
        <f>IFERROR(__xludf.DUMMYFUNCTION("""COMPUTED_VALUE"""),1000000)</f>
        <v/>
      </c>
      <c r="L41" s="43" t="n"/>
      <c r="M41" s="2">
        <f>IFERROR(__xludf.DUMMYFUNCTION("""COMPUTED_VALUE"""),"")</f>
        <v/>
      </c>
      <c r="N41" s="2">
        <f>IFERROR(__xludf.DUMMYFUNCTION("""COMPUTED_VALUE"""),31)</f>
        <v/>
      </c>
      <c r="O41" s="11" t="n"/>
      <c r="P41" s="2" t="n"/>
      <c r="Q41" s="12" t="n"/>
      <c r="R41" s="45" t="n"/>
    </row>
    <row r="42">
      <c r="A42" s="7">
        <f>IFERROR(__xludf.DUMMYFUNCTION("""COMPUTED_VALUE"""),39)</f>
        <v/>
      </c>
      <c r="B42" s="8">
        <f>IFERROR(__xludf.DUMMYFUNCTION("""COMPUTED_VALUE"""),"Unity")</f>
        <v/>
      </c>
      <c r="C42" s="51">
        <f>IFERROR(__xludf.DUMMYFUNCTION("""COMPUTED_VALUE"""),"PT boxing 1 kèm 1")</f>
        <v/>
      </c>
      <c r="D42" s="8">
        <f>IFERROR(__xludf.DUMMYFUNCTION("""COMPUTED_VALUE"""),"PTBX")</f>
        <v/>
      </c>
      <c r="E42" s="8">
        <f>IFERROR(__xludf.DUMMYFUNCTION("""COMPUTED_VALUE"""),"PTBX")</f>
        <v/>
      </c>
      <c r="F42" s="2">
        <f>IFERROR(__xludf.DUMMYFUNCTION("""COMPUTED_VALUE"""),"xx")</f>
        <v/>
      </c>
      <c r="G42" s="8">
        <f>IFERROR(__xludf.DUMMYFUNCTION("""COMPUTED_VALUE"""),"PT")</f>
        <v/>
      </c>
      <c r="H42" s="8">
        <f>IFERROR(__xludf.DUMMYFUNCTION("""COMPUTED_VALUE"""),"PT")</f>
        <v/>
      </c>
      <c r="I42" s="18">
        <f>IFERROR(__xludf.DUMMYFUNCTION("""COMPUTED_VALUE"""),"Buổi tập")</f>
        <v/>
      </c>
      <c r="J42" s="18">
        <f>IFERROR(__xludf.DUMMYFUNCTION("""COMPUTED_VALUE"""),"1 kèm 1")</f>
        <v/>
      </c>
      <c r="K42" s="43">
        <f>IFERROR(__xludf.DUMMYFUNCTION("""COMPUTED_VALUE"""),800000)</f>
        <v/>
      </c>
      <c r="L42" s="43" t="n"/>
      <c r="M42" s="2">
        <f>IFERROR(__xludf.DUMMYFUNCTION("""COMPUTED_VALUE"""),"")</f>
        <v/>
      </c>
      <c r="N42" s="2">
        <f>IFERROR(__xludf.DUMMYFUNCTION("""COMPUTED_VALUE"""),32)</f>
        <v/>
      </c>
      <c r="O42" s="10" t="n"/>
      <c r="P42" s="2" t="n"/>
      <c r="Q42" s="12" t="n"/>
      <c r="R42" s="45" t="n"/>
    </row>
    <row r="43">
      <c r="A43" s="7">
        <f>IFERROR(__xludf.DUMMYFUNCTION("""COMPUTED_VALUE"""),40)</f>
        <v/>
      </c>
      <c r="B43" s="8">
        <f>IFERROR(__xludf.DUMMYFUNCTION("""COMPUTED_VALUE"""),"Unity")</f>
        <v/>
      </c>
      <c r="C43" s="51">
        <f>IFERROR(__xludf.DUMMYFUNCTION("""COMPUTED_VALUE"""),"PT stretching trị liệu 1 kèm 1")</f>
        <v/>
      </c>
      <c r="D43" s="8">
        <f>IFERROR(__xludf.DUMMYFUNCTION("""COMPUTED_VALUE"""),"PTTL")</f>
        <v/>
      </c>
      <c r="E43" s="8">
        <f>IFERROR(__xludf.DUMMYFUNCTION("""COMPUTED_VALUE"""),"PTTL")</f>
        <v/>
      </c>
      <c r="F43" s="2">
        <f>IFERROR(__xludf.DUMMYFUNCTION("""COMPUTED_VALUE"""),"xx")</f>
        <v/>
      </c>
      <c r="G43" s="8">
        <f>IFERROR(__xludf.DUMMYFUNCTION("""COMPUTED_VALUE"""),"PT")</f>
        <v/>
      </c>
      <c r="H43" s="8">
        <f>IFERROR(__xludf.DUMMYFUNCTION("""COMPUTED_VALUE"""),"PT")</f>
        <v/>
      </c>
      <c r="I43" s="18">
        <f>IFERROR(__xludf.DUMMYFUNCTION("""COMPUTED_VALUE"""),"Buổi tập")</f>
        <v/>
      </c>
      <c r="J43" s="18">
        <f>IFERROR(__xludf.DUMMYFUNCTION("""COMPUTED_VALUE"""),"1 kèm 1")</f>
        <v/>
      </c>
      <c r="K43" s="43">
        <f>IFERROR(__xludf.DUMMYFUNCTION("""COMPUTED_VALUE"""),900000)</f>
        <v/>
      </c>
      <c r="L43" s="43" t="n"/>
      <c r="M43" s="2">
        <f>IFERROR(__xludf.DUMMYFUNCTION("""COMPUTED_VALUE"""),"")</f>
        <v/>
      </c>
      <c r="N43" s="2">
        <f>IFERROR(__xludf.DUMMYFUNCTION("""COMPUTED_VALUE"""),33)</f>
        <v/>
      </c>
      <c r="O43" s="10" t="n"/>
      <c r="P43" s="2" t="n"/>
      <c r="Q43" s="17" t="n"/>
      <c r="R43" s="45" t="n"/>
    </row>
    <row r="44">
      <c r="A44" s="7">
        <f>IFERROR(__xludf.DUMMYFUNCTION("""COMPUTED_VALUE"""),41)</f>
        <v/>
      </c>
      <c r="B44" s="8">
        <f>IFERROR(__xludf.DUMMYFUNCTION("""COMPUTED_VALUE"""),"Unity")</f>
        <v/>
      </c>
      <c r="C44" s="51">
        <f>IFERROR(__xludf.DUMMYFUNCTION("""COMPUTED_VALUE"""),"PT bơi 1 kèm 1")</f>
        <v/>
      </c>
      <c r="D44" s="8">
        <f>IFERROR(__xludf.DUMMYFUNCTION("""COMPUTED_VALUE"""),"PTB")</f>
        <v/>
      </c>
      <c r="E44" s="8">
        <f>IFERROR(__xludf.DUMMYFUNCTION("""COMPUTED_VALUE"""),"PTB")</f>
        <v/>
      </c>
      <c r="F44" s="2">
        <f>IFERROR(__xludf.DUMMYFUNCTION("""COMPUTED_VALUE"""),"xx")</f>
        <v/>
      </c>
      <c r="G44" s="8">
        <f>IFERROR(__xludf.DUMMYFUNCTION("""COMPUTED_VALUE"""),"PT")</f>
        <v/>
      </c>
      <c r="H44" s="8">
        <f>IFERROR(__xludf.DUMMYFUNCTION("""COMPUTED_VALUE"""),"PT")</f>
        <v/>
      </c>
      <c r="I44" s="18">
        <f>IFERROR(__xludf.DUMMYFUNCTION("""COMPUTED_VALUE"""),"Buổi tập")</f>
        <v/>
      </c>
      <c r="J44" s="18">
        <f>IFERROR(__xludf.DUMMYFUNCTION("""COMPUTED_VALUE"""),"1 kèm 1")</f>
        <v/>
      </c>
      <c r="K44" s="43">
        <f>IFERROR(__xludf.DUMMYFUNCTION("""COMPUTED_VALUE"""),600000)</f>
        <v/>
      </c>
      <c r="L44" s="43" t="n"/>
      <c r="M44" s="2">
        <f>IFERROR(__xludf.DUMMYFUNCTION("""COMPUTED_VALUE"""),"")</f>
        <v/>
      </c>
      <c r="N44" s="2">
        <f>IFERROR(__xludf.DUMMYFUNCTION("""COMPUTED_VALUE"""),34)</f>
        <v/>
      </c>
      <c r="O44" s="17" t="n"/>
      <c r="P44" s="17" t="n"/>
      <c r="Q44" s="17" t="n"/>
      <c r="R44" s="45" t="n"/>
    </row>
    <row r="45">
      <c r="A45" s="7">
        <f>IFERROR(__xludf.DUMMYFUNCTION("""COMPUTED_VALUE"""),42)</f>
        <v/>
      </c>
      <c r="B45" s="8">
        <f>IFERROR(__xludf.DUMMYFUNCTION("""COMPUTED_VALUE"""),"Unity")</f>
        <v/>
      </c>
      <c r="C45" s="51">
        <f>IFERROR(__xludf.DUMMYFUNCTION("""COMPUTED_VALUE"""),"PT gym 1 kèm 2")</f>
        <v/>
      </c>
      <c r="D45" s="8">
        <f>IFERROR(__xludf.DUMMYFUNCTION("""COMPUTED_VALUE"""),"PTG1.2")</f>
        <v/>
      </c>
      <c r="E45" s="8">
        <f>IFERROR(__xludf.DUMMYFUNCTION("""COMPUTED_VALUE"""),"PTG1.2")</f>
        <v/>
      </c>
      <c r="F45" s="2">
        <f>IFERROR(__xludf.DUMMYFUNCTION("""COMPUTED_VALUE"""),"xx")</f>
        <v/>
      </c>
      <c r="G45" s="8">
        <f>IFERROR(__xludf.DUMMYFUNCTION("""COMPUTED_VALUE"""),"PT")</f>
        <v/>
      </c>
      <c r="H45" s="8">
        <f>IFERROR(__xludf.DUMMYFUNCTION("""COMPUTED_VALUE"""),"PT")</f>
        <v/>
      </c>
      <c r="I45" s="18">
        <f>IFERROR(__xludf.DUMMYFUNCTION("""COMPUTED_VALUE"""),"Buổi tập")</f>
        <v/>
      </c>
      <c r="J45" s="18">
        <f>IFERROR(__xludf.DUMMYFUNCTION("""COMPUTED_VALUE"""),"1 kèm 2")</f>
        <v/>
      </c>
      <c r="K45" s="43">
        <f>IFERROR(__xludf.DUMMYFUNCTION("""COMPUTED_VALUE"""),1200000)</f>
        <v/>
      </c>
      <c r="L45" s="43" t="n"/>
      <c r="M45" s="2">
        <f>IFERROR(__xludf.DUMMYFUNCTION("""COMPUTED_VALUE"""),"")</f>
        <v/>
      </c>
      <c r="N45" s="2">
        <f>IFERROR(__xludf.DUMMYFUNCTION("""COMPUTED_VALUE"""),35)</f>
        <v/>
      </c>
      <c r="O45" s="12" t="n"/>
      <c r="P45" s="12" t="n"/>
      <c r="Q45" s="12" t="n"/>
      <c r="R45" s="45" t="n"/>
    </row>
    <row r="46">
      <c r="A46" s="7">
        <f>IFERROR(__xludf.DUMMYFUNCTION("""COMPUTED_VALUE"""),43)</f>
        <v/>
      </c>
      <c r="B46" s="8">
        <f>IFERROR(__xludf.DUMMYFUNCTION("""COMPUTED_VALUE"""),"Unity")</f>
        <v/>
      </c>
      <c r="C46" s="51">
        <f>IFERROR(__xludf.DUMMYFUNCTION("""COMPUTED_VALUE"""),"PT boxing 1 kèm 2")</f>
        <v/>
      </c>
      <c r="D46" s="8">
        <f>IFERROR(__xludf.DUMMYFUNCTION("""COMPUTED_VALUE"""),"PTBX1.2")</f>
        <v/>
      </c>
      <c r="E46" s="8">
        <f>IFERROR(__xludf.DUMMYFUNCTION("""COMPUTED_VALUE"""),"PTBX1.2")</f>
        <v/>
      </c>
      <c r="F46" s="2">
        <f>IFERROR(__xludf.DUMMYFUNCTION("""COMPUTED_VALUE"""),"xx")</f>
        <v/>
      </c>
      <c r="G46" s="8">
        <f>IFERROR(__xludf.DUMMYFUNCTION("""COMPUTED_VALUE"""),"PT")</f>
        <v/>
      </c>
      <c r="H46" s="8">
        <f>IFERROR(__xludf.DUMMYFUNCTION("""COMPUTED_VALUE"""),"PT")</f>
        <v/>
      </c>
      <c r="I46" s="18">
        <f>IFERROR(__xludf.DUMMYFUNCTION("""COMPUTED_VALUE"""),"Buổi tập")</f>
        <v/>
      </c>
      <c r="J46" s="18">
        <f>IFERROR(__xludf.DUMMYFUNCTION("""COMPUTED_VALUE"""),"1 kèm 2")</f>
        <v/>
      </c>
      <c r="K46" s="43">
        <f>IFERROR(__xludf.DUMMYFUNCTION("""COMPUTED_VALUE"""),1200000)</f>
        <v/>
      </c>
      <c r="L46" s="43" t="n"/>
      <c r="M46" s="2">
        <f>IFERROR(__xludf.DUMMYFUNCTION("""COMPUTED_VALUE"""),"")</f>
        <v/>
      </c>
      <c r="N46" s="2">
        <f>IFERROR(__xludf.DUMMYFUNCTION("""COMPUTED_VALUE"""),36)</f>
        <v/>
      </c>
      <c r="O46" s="12" t="n"/>
      <c r="P46" s="12" t="n"/>
      <c r="Q46" s="12" t="n"/>
      <c r="R46" s="45" t="n"/>
    </row>
    <row r="47">
      <c r="A47" s="7">
        <f>IFERROR(__xludf.DUMMYFUNCTION("""COMPUTED_VALUE"""),44)</f>
        <v/>
      </c>
      <c r="B47" s="8">
        <f>IFERROR(__xludf.DUMMYFUNCTION("""COMPUTED_VALUE"""),"Unity")</f>
        <v/>
      </c>
      <c r="C47" s="51">
        <f>IFERROR(__xludf.DUMMYFUNCTION("""COMPUTED_VALUE"""),"PT bơi 1 kèm 2")</f>
        <v/>
      </c>
      <c r="D47" s="8">
        <f>IFERROR(__xludf.DUMMYFUNCTION("""COMPUTED_VALUE"""),"PTB1.2")</f>
        <v/>
      </c>
      <c r="E47" s="8">
        <f>IFERROR(__xludf.DUMMYFUNCTION("""COMPUTED_VALUE"""),"PTB1.2")</f>
        <v/>
      </c>
      <c r="F47" s="2">
        <f>IFERROR(__xludf.DUMMYFUNCTION("""COMPUTED_VALUE"""),"xx")</f>
        <v/>
      </c>
      <c r="G47" s="8">
        <f>IFERROR(__xludf.DUMMYFUNCTION("""COMPUTED_VALUE"""),"PT")</f>
        <v/>
      </c>
      <c r="H47" s="8">
        <f>IFERROR(__xludf.DUMMYFUNCTION("""COMPUTED_VALUE"""),"PT")</f>
        <v/>
      </c>
      <c r="I47" s="18">
        <f>IFERROR(__xludf.DUMMYFUNCTION("""COMPUTED_VALUE"""),"Buổi tập")</f>
        <v/>
      </c>
      <c r="J47" s="18">
        <f>IFERROR(__xludf.DUMMYFUNCTION("""COMPUTED_VALUE"""),"1 kèm 2")</f>
        <v/>
      </c>
      <c r="K47" s="43">
        <f>IFERROR(__xludf.DUMMYFUNCTION("""COMPUTED_VALUE"""),900000)</f>
        <v/>
      </c>
      <c r="L47" s="43" t="n"/>
      <c r="M47" s="2">
        <f>IFERROR(__xludf.DUMMYFUNCTION("""COMPUTED_VALUE"""),"")</f>
        <v/>
      </c>
      <c r="N47" s="2">
        <f>IFERROR(__xludf.DUMMYFUNCTION("""COMPUTED_VALUE"""),37)</f>
        <v/>
      </c>
      <c r="O47" s="10" t="n"/>
      <c r="P47" s="2" t="n"/>
      <c r="Q47" s="45" t="n"/>
      <c r="R47" s="45" t="n"/>
    </row>
    <row r="48">
      <c r="A48" s="7">
        <f>IFERROR(__xludf.DUMMYFUNCTION("""COMPUTED_VALUE"""),45)</f>
        <v/>
      </c>
      <c r="B48" s="8">
        <f>IFERROR(__xludf.DUMMYFUNCTION("""COMPUTED_VALUE"""),"Unity")</f>
        <v/>
      </c>
      <c r="C48" s="51">
        <f>IFERROR(__xludf.DUMMYFUNCTION("""COMPUTED_VALUE"""),"Pilates 1 kèm 1")</f>
        <v/>
      </c>
      <c r="D48" s="8">
        <f>IFERROR(__xludf.DUMMYFUNCTION("""COMPUTED_VALUE"""),"PTP")</f>
        <v/>
      </c>
      <c r="E48" s="8">
        <f>IFERROR(__xludf.DUMMYFUNCTION("""COMPUTED_VALUE"""),"PTP")</f>
        <v/>
      </c>
      <c r="F48" s="2">
        <f>IFERROR(__xludf.DUMMYFUNCTION("""COMPUTED_VALUE"""),"xx")</f>
        <v/>
      </c>
      <c r="G48" s="8">
        <f>IFERROR(__xludf.DUMMYFUNCTION("""COMPUTED_VALUE"""),"PTP")</f>
        <v/>
      </c>
      <c r="H48" s="8">
        <f>IFERROR(__xludf.DUMMYFUNCTION("""COMPUTED_VALUE"""),"PT")</f>
        <v/>
      </c>
      <c r="I48" s="18">
        <f>IFERROR(__xludf.DUMMYFUNCTION("""COMPUTED_VALUE"""),"Buổi tập")</f>
        <v/>
      </c>
      <c r="J48" s="18">
        <f>IFERROR(__xludf.DUMMYFUNCTION("""COMPUTED_VALUE"""),"1 kèm 1")</f>
        <v/>
      </c>
      <c r="K48" s="43">
        <f>IFERROR(__xludf.DUMMYFUNCTION("""COMPUTED_VALUE"""),1000000)</f>
        <v/>
      </c>
      <c r="L48" s="43" t="n"/>
      <c r="M48" s="2">
        <f>IFERROR(__xludf.DUMMYFUNCTION("""COMPUTED_VALUE"""),"")</f>
        <v/>
      </c>
      <c r="N48" s="2">
        <f>IFERROR(__xludf.DUMMYFUNCTION("""COMPUTED_VALUE"""),38)</f>
        <v/>
      </c>
      <c r="O48" s="12" t="n"/>
      <c r="P48" s="2" t="n"/>
      <c r="Q48" s="45" t="n"/>
      <c r="R48" s="45" t="n"/>
    </row>
    <row r="49">
      <c r="A49" s="7">
        <f>IFERROR(__xludf.DUMMYFUNCTION("""COMPUTED_VALUE"""),46)</f>
        <v/>
      </c>
      <c r="B49" s="8">
        <f>IFERROR(__xludf.DUMMYFUNCTION("""COMPUTED_VALUE"""),"Unity")</f>
        <v/>
      </c>
      <c r="C49" s="51">
        <f>IFERROR(__xludf.DUMMYFUNCTION("""COMPUTED_VALUE"""),"Pilates 1 kèm 2")</f>
        <v/>
      </c>
      <c r="D49" s="8">
        <f>IFERROR(__xludf.DUMMYFUNCTION("""COMPUTED_VALUE"""),"PTP1.2")</f>
        <v/>
      </c>
      <c r="E49" s="8">
        <f>IFERROR(__xludf.DUMMYFUNCTION("""COMPUTED_VALUE"""),"PTP1.2")</f>
        <v/>
      </c>
      <c r="F49" s="2">
        <f>IFERROR(__xludf.DUMMYFUNCTION("""COMPUTED_VALUE"""),"xx")</f>
        <v/>
      </c>
      <c r="G49" s="8">
        <f>IFERROR(__xludf.DUMMYFUNCTION("""COMPUTED_VALUE"""),"PTP")</f>
        <v/>
      </c>
      <c r="H49" s="8">
        <f>IFERROR(__xludf.DUMMYFUNCTION("""COMPUTED_VALUE"""),"PT")</f>
        <v/>
      </c>
      <c r="I49" s="18">
        <f>IFERROR(__xludf.DUMMYFUNCTION("""COMPUTED_VALUE"""),"Buổi tập")</f>
        <v/>
      </c>
      <c r="J49" s="18">
        <f>IFERROR(__xludf.DUMMYFUNCTION("""COMPUTED_VALUE"""),"1 kèm 2")</f>
        <v/>
      </c>
      <c r="K49" s="43">
        <f>IFERROR(__xludf.DUMMYFUNCTION("""COMPUTED_VALUE"""),1500000)</f>
        <v/>
      </c>
      <c r="L49" s="43" t="n"/>
      <c r="M49" s="2">
        <f>IFERROR(__xludf.DUMMYFUNCTION("""COMPUTED_VALUE"""),"")</f>
        <v/>
      </c>
      <c r="N49" s="2">
        <f>IFERROR(__xludf.DUMMYFUNCTION("""COMPUTED_VALUE"""),39)</f>
        <v/>
      </c>
      <c r="O49" s="12" t="n"/>
      <c r="P49" s="12" t="n"/>
      <c r="Q49" s="12" t="n"/>
      <c r="R49" s="45" t="n"/>
    </row>
    <row r="50">
      <c r="A50" s="7">
        <f>IFERROR(__xludf.DUMMYFUNCTION("""COMPUTED_VALUE"""),47)</f>
        <v/>
      </c>
      <c r="B50" s="8">
        <f>IFERROR(__xludf.DUMMYFUNCTION("""COMPUTED_VALUE"""),"Unity")</f>
        <v/>
      </c>
      <c r="C50" s="51">
        <f>IFERROR(__xludf.DUMMYFUNCTION("""COMPUTED_VALUE"""),"Pilates 1 kèm 3")</f>
        <v/>
      </c>
      <c r="D50" s="8">
        <f>IFERROR(__xludf.DUMMYFUNCTION("""COMPUTED_VALUE"""),"PTP1.3")</f>
        <v/>
      </c>
      <c r="E50" s="8">
        <f>IFERROR(__xludf.DUMMYFUNCTION("""COMPUTED_VALUE"""),"PTP1.3")</f>
        <v/>
      </c>
      <c r="F50" s="2">
        <f>IFERROR(__xludf.DUMMYFUNCTION("""COMPUTED_VALUE"""),"xx")</f>
        <v/>
      </c>
      <c r="G50" s="8">
        <f>IFERROR(__xludf.DUMMYFUNCTION("""COMPUTED_VALUE"""),"PTP")</f>
        <v/>
      </c>
      <c r="H50" s="8">
        <f>IFERROR(__xludf.DUMMYFUNCTION("""COMPUTED_VALUE"""),"PT")</f>
        <v/>
      </c>
      <c r="I50" s="18">
        <f>IFERROR(__xludf.DUMMYFUNCTION("""COMPUTED_VALUE"""),"Buổi tập")</f>
        <v/>
      </c>
      <c r="J50" s="18">
        <f>IFERROR(__xludf.DUMMYFUNCTION("""COMPUTED_VALUE"""),"1 kèm 3")</f>
        <v/>
      </c>
      <c r="K50" s="43">
        <f>IFERROR(__xludf.DUMMYFUNCTION("""COMPUTED_VALUE"""),1750000)</f>
        <v/>
      </c>
      <c r="L50" s="43" t="n"/>
      <c r="M50" s="2">
        <f>IFERROR(__xludf.DUMMYFUNCTION("""COMPUTED_VALUE"""),"")</f>
        <v/>
      </c>
      <c r="N50" s="2">
        <f>IFERROR(__xludf.DUMMYFUNCTION("""COMPUTED_VALUE"""),40)</f>
        <v/>
      </c>
      <c r="O50" s="11" t="n"/>
      <c r="P50" s="2" t="n"/>
      <c r="Q50" s="45" t="n"/>
      <c r="R50" s="45" t="n"/>
    </row>
    <row r="51">
      <c r="A51" s="7">
        <f>IFERROR(__xludf.DUMMYFUNCTION("""COMPUTED_VALUE"""),48)</f>
        <v/>
      </c>
      <c r="B51" s="8">
        <f>IFERROR(__xludf.DUMMYFUNCTION("""COMPUTED_VALUE"""),"Unity")</f>
        <v/>
      </c>
      <c r="C51" s="51">
        <f>IFERROR(__xludf.DUMMYFUNCTION("""COMPUTED_VALUE"""),"Pilates 1 kèm 4")</f>
        <v/>
      </c>
      <c r="D51" s="8">
        <f>IFERROR(__xludf.DUMMYFUNCTION("""COMPUTED_VALUE"""),"PTP1.4")</f>
        <v/>
      </c>
      <c r="E51" s="8">
        <f>IFERROR(__xludf.DUMMYFUNCTION("""COMPUTED_VALUE"""),"PTP1.4")</f>
        <v/>
      </c>
      <c r="F51" s="2">
        <f>IFERROR(__xludf.DUMMYFUNCTION("""COMPUTED_VALUE"""),"xx")</f>
        <v/>
      </c>
      <c r="G51" s="8">
        <f>IFERROR(__xludf.DUMMYFUNCTION("""COMPUTED_VALUE"""),"PTP")</f>
        <v/>
      </c>
      <c r="H51" s="8">
        <f>IFERROR(__xludf.DUMMYFUNCTION("""COMPUTED_VALUE"""),"PT")</f>
        <v/>
      </c>
      <c r="I51" s="18">
        <f>IFERROR(__xludf.DUMMYFUNCTION("""COMPUTED_VALUE"""),"Buổi tập")</f>
        <v/>
      </c>
      <c r="J51" s="18">
        <f>IFERROR(__xludf.DUMMYFUNCTION("""COMPUTED_VALUE"""),"1 kèm 4")</f>
        <v/>
      </c>
      <c r="K51" s="43">
        <f>IFERROR(__xludf.DUMMYFUNCTION("""COMPUTED_VALUE"""),2000000)</f>
        <v/>
      </c>
      <c r="L51" s="43" t="n"/>
      <c r="M51" s="2">
        <f>IFERROR(__xludf.DUMMYFUNCTION("""COMPUTED_VALUE"""),"")</f>
        <v/>
      </c>
      <c r="N51" s="2">
        <f>IFERROR(__xludf.DUMMYFUNCTION("""COMPUTED_VALUE"""),41)</f>
        <v/>
      </c>
      <c r="O51" s="11" t="n"/>
      <c r="P51" s="2" t="n"/>
      <c r="Q51" s="45" t="n"/>
      <c r="R51" s="45" t="n"/>
    </row>
    <row r="52">
      <c r="A52" s="7">
        <f>IFERROR(__xludf.DUMMYFUNCTION("""COMPUTED_VALUE"""),49)</f>
        <v/>
      </c>
      <c r="B52" s="8">
        <f>IFERROR(__xludf.DUMMYFUNCTION("""COMPUTED_VALUE"""),"Unity")</f>
        <v/>
      </c>
      <c r="C52" s="51">
        <f>IFERROR(__xludf.DUMMYFUNCTION("""COMPUTED_VALUE"""),"Group X pro skill 1 kèm 1")</f>
        <v/>
      </c>
      <c r="D52" s="8">
        <f>IFERROR(__xludf.DUMMYFUNCTION("""COMPUTED_VALUE"""),"PTGX")</f>
        <v/>
      </c>
      <c r="E52" s="8">
        <f>IFERROR(__xludf.DUMMYFUNCTION("""COMPUTED_VALUE"""),"PTGX")</f>
        <v/>
      </c>
      <c r="F52" s="2">
        <f>IFERROR(__xludf.DUMMYFUNCTION("""COMPUTED_VALUE"""),"xx")</f>
        <v/>
      </c>
      <c r="G52" s="8">
        <f>IFERROR(__xludf.DUMMYFUNCTION("""COMPUTED_VALUE"""),"PT")</f>
        <v/>
      </c>
      <c r="H52" s="8">
        <f>IFERROR(__xludf.DUMMYFUNCTION("""COMPUTED_VALUE"""),"PT")</f>
        <v/>
      </c>
      <c r="I52" s="18">
        <f>IFERROR(__xludf.DUMMYFUNCTION("""COMPUTED_VALUE"""),"Buổi tập")</f>
        <v/>
      </c>
      <c r="J52" s="18">
        <f>IFERROR(__xludf.DUMMYFUNCTION("""COMPUTED_VALUE"""),"1 kèm 1")</f>
        <v/>
      </c>
      <c r="K52" s="43">
        <f>IFERROR(__xludf.DUMMYFUNCTION("""COMPUTED_VALUE"""),800000)</f>
        <v/>
      </c>
      <c r="L52" s="43" t="n"/>
      <c r="M52" s="2">
        <f>IFERROR(__xludf.DUMMYFUNCTION("""COMPUTED_VALUE"""),"")</f>
        <v/>
      </c>
      <c r="N52" s="2">
        <f>IFERROR(__xludf.DUMMYFUNCTION("""COMPUTED_VALUE"""),42)</f>
        <v/>
      </c>
      <c r="O52" s="12" t="n"/>
      <c r="P52" s="12" t="n"/>
      <c r="Q52" s="12" t="n"/>
      <c r="R52" s="45" t="n"/>
    </row>
    <row r="53">
      <c r="A53" s="7">
        <f>IFERROR(__xludf.DUMMYFUNCTION("""COMPUTED_VALUE"""),50)</f>
        <v/>
      </c>
      <c r="B53" s="8">
        <f>IFERROR(__xludf.DUMMYFUNCTION("""COMPUTED_VALUE"""),"Unity")</f>
        <v/>
      </c>
      <c r="C53" s="51">
        <f>IFERROR(__xludf.DUMMYFUNCTION("""COMPUTED_VALUE"""),"Group X pro skill 1 kèm 2")</f>
        <v/>
      </c>
      <c r="D53" s="8">
        <f>IFERROR(__xludf.DUMMYFUNCTION("""COMPUTED_VALUE"""),"PTGX1.2")</f>
        <v/>
      </c>
      <c r="E53" s="8">
        <f>IFERROR(__xludf.DUMMYFUNCTION("""COMPUTED_VALUE"""),"PTGX1.2")</f>
        <v/>
      </c>
      <c r="F53" s="2">
        <f>IFERROR(__xludf.DUMMYFUNCTION("""COMPUTED_VALUE"""),"xx")</f>
        <v/>
      </c>
      <c r="G53" s="8">
        <f>IFERROR(__xludf.DUMMYFUNCTION("""COMPUTED_VALUE"""),"PT")</f>
        <v/>
      </c>
      <c r="H53" s="8">
        <f>IFERROR(__xludf.DUMMYFUNCTION("""COMPUTED_VALUE"""),"PT")</f>
        <v/>
      </c>
      <c r="I53" s="18">
        <f>IFERROR(__xludf.DUMMYFUNCTION("""COMPUTED_VALUE"""),"Buổi tập")</f>
        <v/>
      </c>
      <c r="J53" s="18">
        <f>IFERROR(__xludf.DUMMYFUNCTION("""COMPUTED_VALUE"""),"1 kèm 2")</f>
        <v/>
      </c>
      <c r="K53" s="43">
        <f>IFERROR(__xludf.DUMMYFUNCTION("""COMPUTED_VALUE"""),1200000)</f>
        <v/>
      </c>
      <c r="L53" s="43" t="n"/>
      <c r="M53" s="2">
        <f>IFERROR(__xludf.DUMMYFUNCTION("""COMPUTED_VALUE"""),"")</f>
        <v/>
      </c>
      <c r="N53" s="2">
        <f>IFERROR(__xludf.DUMMYFUNCTION("""COMPUTED_VALUE"""),43)</f>
        <v/>
      </c>
      <c r="O53" s="12" t="n"/>
      <c r="P53" s="12" t="n"/>
      <c r="Q53" s="12" t="n"/>
      <c r="R53" s="45" t="n"/>
    </row>
    <row r="54">
      <c r="A54" s="7">
        <f>IFERROR(__xludf.DUMMYFUNCTION("""COMPUTED_VALUE"""),51)</f>
        <v/>
      </c>
      <c r="B54" s="8">
        <f>IFERROR(__xludf.DUMMYFUNCTION("""COMPUTED_VALUE"""),"Unity")</f>
        <v/>
      </c>
      <c r="C54" s="51">
        <f>IFERROR(__xludf.DUMMYFUNCTION("""COMPUTED_VALUE"""),"Group X pro skill 1 kèm 3")</f>
        <v/>
      </c>
      <c r="D54" s="8">
        <f>IFERROR(__xludf.DUMMYFUNCTION("""COMPUTED_VALUE"""),"PTGX1.3")</f>
        <v/>
      </c>
      <c r="E54" s="8">
        <f>IFERROR(__xludf.DUMMYFUNCTION("""COMPUTED_VALUE"""),"PTGX1.3")</f>
        <v/>
      </c>
      <c r="F54" s="2">
        <f>IFERROR(__xludf.DUMMYFUNCTION("""COMPUTED_VALUE"""),"xx")</f>
        <v/>
      </c>
      <c r="G54" s="8">
        <f>IFERROR(__xludf.DUMMYFUNCTION("""COMPUTED_VALUE"""),"PT")</f>
        <v/>
      </c>
      <c r="H54" s="8">
        <f>IFERROR(__xludf.DUMMYFUNCTION("""COMPUTED_VALUE"""),"PT")</f>
        <v/>
      </c>
      <c r="I54" s="18">
        <f>IFERROR(__xludf.DUMMYFUNCTION("""COMPUTED_VALUE"""),"Buổi tập")</f>
        <v/>
      </c>
      <c r="J54" s="18">
        <f>IFERROR(__xludf.DUMMYFUNCTION("""COMPUTED_VALUE"""),"1 kèm 3")</f>
        <v/>
      </c>
      <c r="K54" s="43">
        <f>IFERROR(__xludf.DUMMYFUNCTION("""COMPUTED_VALUE"""),1400000)</f>
        <v/>
      </c>
      <c r="L54" s="43" t="n"/>
      <c r="M54" s="2">
        <f>IFERROR(__xludf.DUMMYFUNCTION("""COMPUTED_VALUE"""),"")</f>
        <v/>
      </c>
      <c r="N54" s="2">
        <f>IFERROR(__xludf.DUMMYFUNCTION("""COMPUTED_VALUE"""),44)</f>
        <v/>
      </c>
      <c r="O54" s="12" t="n"/>
      <c r="P54" s="12" t="n"/>
      <c r="Q54" s="12" t="n"/>
      <c r="R54" s="45" t="n"/>
    </row>
    <row r="55">
      <c r="A55" s="7">
        <f>IFERROR(__xludf.DUMMYFUNCTION("""COMPUTED_VALUE"""),52)</f>
        <v/>
      </c>
      <c r="B55" s="8">
        <f>IFERROR(__xludf.DUMMYFUNCTION("""COMPUTED_VALUE"""),"Unity")</f>
        <v/>
      </c>
      <c r="C55" s="51">
        <f>IFERROR(__xludf.DUMMYFUNCTION("""COMPUTED_VALUE"""),"Group X pro skill 1 kèm 4")</f>
        <v/>
      </c>
      <c r="D55" s="8">
        <f>IFERROR(__xludf.DUMMYFUNCTION("""COMPUTED_VALUE"""),"PTGX1.4")</f>
        <v/>
      </c>
      <c r="E55" s="8">
        <f>IFERROR(__xludf.DUMMYFUNCTION("""COMPUTED_VALUE"""),"PTGX1.4")</f>
        <v/>
      </c>
      <c r="F55" s="2">
        <f>IFERROR(__xludf.DUMMYFUNCTION("""COMPUTED_VALUE"""),"xx")</f>
        <v/>
      </c>
      <c r="G55" s="8">
        <f>IFERROR(__xludf.DUMMYFUNCTION("""COMPUTED_VALUE"""),"PT")</f>
        <v/>
      </c>
      <c r="H55" s="8">
        <f>IFERROR(__xludf.DUMMYFUNCTION("""COMPUTED_VALUE"""),"PT")</f>
        <v/>
      </c>
      <c r="I55" s="18">
        <f>IFERROR(__xludf.DUMMYFUNCTION("""COMPUTED_VALUE"""),"Buổi tập")</f>
        <v/>
      </c>
      <c r="J55" s="18">
        <f>IFERROR(__xludf.DUMMYFUNCTION("""COMPUTED_VALUE"""),"1 kèm 4")</f>
        <v/>
      </c>
      <c r="K55" s="43">
        <f>IFERROR(__xludf.DUMMYFUNCTION("""COMPUTED_VALUE"""),1600000)</f>
        <v/>
      </c>
      <c r="L55" s="43" t="n"/>
      <c r="M55" s="2">
        <f>IFERROR(__xludf.DUMMYFUNCTION("""COMPUTED_VALUE"""),"")</f>
        <v/>
      </c>
      <c r="N55" s="2">
        <f>IFERROR(__xludf.DUMMYFUNCTION("""COMPUTED_VALUE"""),45)</f>
        <v/>
      </c>
      <c r="O55" s="12" t="n"/>
      <c r="P55" s="12" t="n"/>
      <c r="Q55" s="12" t="n"/>
      <c r="R55" s="45" t="n"/>
    </row>
    <row r="56">
      <c r="A56" s="7">
        <f>IFERROR(__xludf.DUMMYFUNCTION("""COMPUTED_VALUE"""),53)</f>
        <v/>
      </c>
      <c r="B56" s="8">
        <f>IFERROR(__xludf.DUMMYFUNCTION("""COMPUTED_VALUE"""),"Unity")</f>
        <v/>
      </c>
      <c r="C56" s="51">
        <f>IFERROR(__xludf.DUMMYFUNCTION("""COMPUTED_VALUE"""),"Aerial 1 kèm 1")</f>
        <v/>
      </c>
      <c r="D56" s="8">
        <f>IFERROR(__xludf.DUMMYFUNCTION("""COMPUTED_VALUE"""),"PTA")</f>
        <v/>
      </c>
      <c r="E56" s="8">
        <f>IFERROR(__xludf.DUMMYFUNCTION("""COMPUTED_VALUE"""),"PTA")</f>
        <v/>
      </c>
      <c r="F56" s="2">
        <f>IFERROR(__xludf.DUMMYFUNCTION("""COMPUTED_VALUE"""),"xx")</f>
        <v/>
      </c>
      <c r="G56" s="8">
        <f>IFERROR(__xludf.DUMMYFUNCTION("""COMPUTED_VALUE"""),"PT")</f>
        <v/>
      </c>
      <c r="H56" s="8">
        <f>IFERROR(__xludf.DUMMYFUNCTION("""COMPUTED_VALUE"""),"PT")</f>
        <v/>
      </c>
      <c r="I56" s="18">
        <f>IFERROR(__xludf.DUMMYFUNCTION("""COMPUTED_VALUE"""),"Buổi tập")</f>
        <v/>
      </c>
      <c r="J56" s="18">
        <f>IFERROR(__xludf.DUMMYFUNCTION("""COMPUTED_VALUE"""),"1 kèm 1")</f>
        <v/>
      </c>
      <c r="K56" s="43">
        <f>IFERROR(__xludf.DUMMYFUNCTION("""COMPUTED_VALUE"""),1000000)</f>
        <v/>
      </c>
      <c r="L56" s="43" t="n"/>
      <c r="M56" s="2">
        <f>IFERROR(__xludf.DUMMYFUNCTION("""COMPUTED_VALUE"""),"")</f>
        <v/>
      </c>
      <c r="N56" s="2">
        <f>IFERROR(__xludf.DUMMYFUNCTION("""COMPUTED_VALUE"""),46)</f>
        <v/>
      </c>
      <c r="O56" s="12" t="n"/>
      <c r="P56" s="12" t="n"/>
      <c r="Q56" s="12" t="n"/>
      <c r="R56" s="45" t="n"/>
    </row>
    <row r="57">
      <c r="A57" s="7">
        <f>IFERROR(__xludf.DUMMYFUNCTION("""COMPUTED_VALUE"""),54)</f>
        <v/>
      </c>
      <c r="B57" s="8">
        <f>IFERROR(__xludf.DUMMYFUNCTION("""COMPUTED_VALUE"""),"Unity")</f>
        <v/>
      </c>
      <c r="C57" s="51">
        <f>IFERROR(__xludf.DUMMYFUNCTION("""COMPUTED_VALUE"""),"Aerial 1 kèm 2")</f>
        <v/>
      </c>
      <c r="D57" s="8">
        <f>IFERROR(__xludf.DUMMYFUNCTION("""COMPUTED_VALUE"""),"PTA1.2")</f>
        <v/>
      </c>
      <c r="E57" s="8">
        <f>IFERROR(__xludf.DUMMYFUNCTION("""COMPUTED_VALUE"""),"PTA1.2")</f>
        <v/>
      </c>
      <c r="F57" s="2">
        <f>IFERROR(__xludf.DUMMYFUNCTION("""COMPUTED_VALUE"""),"xx")</f>
        <v/>
      </c>
      <c r="G57" s="8">
        <f>IFERROR(__xludf.DUMMYFUNCTION("""COMPUTED_VALUE"""),"PT")</f>
        <v/>
      </c>
      <c r="H57" s="8">
        <f>IFERROR(__xludf.DUMMYFUNCTION("""COMPUTED_VALUE"""),"PT")</f>
        <v/>
      </c>
      <c r="I57" s="18">
        <f>IFERROR(__xludf.DUMMYFUNCTION("""COMPUTED_VALUE"""),"Buổi tập")</f>
        <v/>
      </c>
      <c r="J57" s="18">
        <f>IFERROR(__xludf.DUMMYFUNCTION("""COMPUTED_VALUE"""),"1 kèm 2")</f>
        <v/>
      </c>
      <c r="K57" s="43">
        <f>IFERROR(__xludf.DUMMYFUNCTION("""COMPUTED_VALUE"""),1500000)</f>
        <v/>
      </c>
      <c r="L57" s="43" t="n"/>
      <c r="M57" s="2">
        <f>IFERROR(__xludf.DUMMYFUNCTION("""COMPUTED_VALUE"""),"")</f>
        <v/>
      </c>
      <c r="N57" s="2">
        <f>IFERROR(__xludf.DUMMYFUNCTION("""COMPUTED_VALUE"""),47)</f>
        <v/>
      </c>
      <c r="O57" s="12" t="n"/>
      <c r="P57" s="12" t="n"/>
      <c r="Q57" s="12" t="n"/>
      <c r="R57" s="45" t="n"/>
    </row>
    <row r="58">
      <c r="A58" s="7">
        <f>IFERROR(__xludf.DUMMYFUNCTION("""COMPUTED_VALUE"""),55)</f>
        <v/>
      </c>
      <c r="B58" s="8">
        <f>IFERROR(__xludf.DUMMYFUNCTION("""COMPUTED_VALUE"""),"Unity")</f>
        <v/>
      </c>
      <c r="C58" s="51">
        <f>IFERROR(__xludf.DUMMYFUNCTION("""COMPUTED_VALUE"""),"Aerial 1 kèm 3")</f>
        <v/>
      </c>
      <c r="D58" s="8">
        <f>IFERROR(__xludf.DUMMYFUNCTION("""COMPUTED_VALUE"""),"PTA1.3")</f>
        <v/>
      </c>
      <c r="E58" s="8">
        <f>IFERROR(__xludf.DUMMYFUNCTION("""COMPUTED_VALUE"""),"PTA1.3")</f>
        <v/>
      </c>
      <c r="F58" s="2">
        <f>IFERROR(__xludf.DUMMYFUNCTION("""COMPUTED_VALUE"""),"xx")</f>
        <v/>
      </c>
      <c r="G58" s="8">
        <f>IFERROR(__xludf.DUMMYFUNCTION("""COMPUTED_VALUE"""),"PT")</f>
        <v/>
      </c>
      <c r="H58" s="8">
        <f>IFERROR(__xludf.DUMMYFUNCTION("""COMPUTED_VALUE"""),"PT")</f>
        <v/>
      </c>
      <c r="I58" s="18">
        <f>IFERROR(__xludf.DUMMYFUNCTION("""COMPUTED_VALUE"""),"Buổi tập")</f>
        <v/>
      </c>
      <c r="J58" s="18">
        <f>IFERROR(__xludf.DUMMYFUNCTION("""COMPUTED_VALUE"""),"1 kèm 3")</f>
        <v/>
      </c>
      <c r="K58" s="43">
        <f>IFERROR(__xludf.DUMMYFUNCTION("""COMPUTED_VALUE"""),1750000)</f>
        <v/>
      </c>
      <c r="L58" s="43" t="n"/>
      <c r="M58" s="2">
        <f>IFERROR(__xludf.DUMMYFUNCTION("""COMPUTED_VALUE"""),"")</f>
        <v/>
      </c>
      <c r="N58" s="2">
        <f>IFERROR(__xludf.DUMMYFUNCTION("""COMPUTED_VALUE"""),48)</f>
        <v/>
      </c>
      <c r="O58" s="12" t="n"/>
      <c r="P58" s="12" t="n"/>
      <c r="Q58" s="12" t="n"/>
      <c r="R58" s="45" t="n"/>
    </row>
    <row r="59">
      <c r="A59" s="7">
        <f>IFERROR(__xludf.DUMMYFUNCTION("""COMPUTED_VALUE"""),56)</f>
        <v/>
      </c>
      <c r="B59" s="8">
        <f>IFERROR(__xludf.DUMMYFUNCTION("""COMPUTED_VALUE"""),"Unity")</f>
        <v/>
      </c>
      <c r="C59" s="51">
        <f>IFERROR(__xludf.DUMMYFUNCTION("""COMPUTED_VALUE"""),"Aerial 1 kèm 4")</f>
        <v/>
      </c>
      <c r="D59" s="8">
        <f>IFERROR(__xludf.DUMMYFUNCTION("""COMPUTED_VALUE"""),"PTA1.4")</f>
        <v/>
      </c>
      <c r="E59" s="8">
        <f>IFERROR(__xludf.DUMMYFUNCTION("""COMPUTED_VALUE"""),"PTA1.4")</f>
        <v/>
      </c>
      <c r="F59" s="2">
        <f>IFERROR(__xludf.DUMMYFUNCTION("""COMPUTED_VALUE"""),"xx")</f>
        <v/>
      </c>
      <c r="G59" s="8">
        <f>IFERROR(__xludf.DUMMYFUNCTION("""COMPUTED_VALUE"""),"PT")</f>
        <v/>
      </c>
      <c r="H59" s="8">
        <f>IFERROR(__xludf.DUMMYFUNCTION("""COMPUTED_VALUE"""),"PT")</f>
        <v/>
      </c>
      <c r="I59" s="18">
        <f>IFERROR(__xludf.DUMMYFUNCTION("""COMPUTED_VALUE"""),"Buổi tập")</f>
        <v/>
      </c>
      <c r="J59" s="18">
        <f>IFERROR(__xludf.DUMMYFUNCTION("""COMPUTED_VALUE"""),"1 kèm 4")</f>
        <v/>
      </c>
      <c r="K59" s="43">
        <f>IFERROR(__xludf.DUMMYFUNCTION("""COMPUTED_VALUE"""),2000000)</f>
        <v/>
      </c>
      <c r="L59" s="43" t="n"/>
      <c r="M59" s="2">
        <f>IFERROR(__xludf.DUMMYFUNCTION("""COMPUTED_VALUE"""),"")</f>
        <v/>
      </c>
      <c r="N59" s="2">
        <f>IFERROR(__xludf.DUMMYFUNCTION("""COMPUTED_VALUE"""),49)</f>
        <v/>
      </c>
      <c r="O59" s="12" t="n"/>
      <c r="P59" s="12" t="n"/>
      <c r="Q59" s="12" t="n"/>
      <c r="R59" s="45" t="n"/>
    </row>
    <row r="60">
      <c r="A60" s="7">
        <f>IFERROR(__xludf.DUMMYFUNCTION("""COMPUTED_VALUE"""),57)</f>
        <v/>
      </c>
      <c r="B60" s="8">
        <f>IFERROR(__xludf.DUMMYFUNCTION("""COMPUTED_VALUE"""),"Unity")</f>
        <v/>
      </c>
      <c r="C60" s="51">
        <f>IFERROR(__xludf.DUMMYFUNCTION("""COMPUTED_VALUE"""),"PT gym 1 kèm 1 Non member")</f>
        <v/>
      </c>
      <c r="D60" s="8">
        <f>IFERROR(__xludf.DUMMYFUNCTION("""COMPUTED_VALUE"""),"PTGMBS")</f>
        <v/>
      </c>
      <c r="E60" s="8">
        <f>IFERROR(__xludf.DUMMYFUNCTION("""COMPUTED_VALUE"""),"PTGMBS")</f>
        <v/>
      </c>
      <c r="F60" s="2">
        <f>IFERROR(__xludf.DUMMYFUNCTION("""COMPUTED_VALUE"""),"xx")</f>
        <v/>
      </c>
      <c r="G60" s="8">
        <f>IFERROR(__xludf.DUMMYFUNCTION("""COMPUTED_VALUE"""),"PT")</f>
        <v/>
      </c>
      <c r="H60" s="8">
        <f>IFERROR(__xludf.DUMMYFUNCTION("""COMPUTED_VALUE"""),"PT")</f>
        <v/>
      </c>
      <c r="I60" s="18">
        <f>IFERROR(__xludf.DUMMYFUNCTION("""COMPUTED_VALUE"""),"Buổi tập")</f>
        <v/>
      </c>
      <c r="J60" s="18">
        <f>IFERROR(__xludf.DUMMYFUNCTION("""COMPUTED_VALUE"""),"1 kèm 1")</f>
        <v/>
      </c>
      <c r="K60" s="43">
        <f>IFERROR(__xludf.DUMMYFUNCTION("""COMPUTED_VALUE"""),1000000)</f>
        <v/>
      </c>
      <c r="L60" s="43" t="n"/>
      <c r="M60" s="2">
        <f>IFERROR(__xludf.DUMMYFUNCTION("""COMPUTED_VALUE"""),"")</f>
        <v/>
      </c>
      <c r="N60" s="2">
        <f>IFERROR(__xludf.DUMMYFUNCTION("""COMPUTED_VALUE"""),50)</f>
        <v/>
      </c>
      <c r="O60" s="11" t="n"/>
      <c r="P60" s="2" t="n"/>
      <c r="Q60" s="45" t="n"/>
      <c r="R60" s="45" t="n"/>
    </row>
    <row r="61">
      <c r="A61" s="7">
        <f>IFERROR(__xludf.DUMMYFUNCTION("""COMPUTED_VALUE"""),58)</f>
        <v/>
      </c>
      <c r="B61" s="8">
        <f>IFERROR(__xludf.DUMMYFUNCTION("""COMPUTED_VALUE"""),"Unity")</f>
        <v/>
      </c>
      <c r="C61" s="51">
        <f>IFERROR(__xludf.DUMMYFUNCTION("""COMPUTED_VALUE"""),"PT boxing 1 kèm 1 Non member")</f>
        <v/>
      </c>
      <c r="D61" s="8">
        <f>IFERROR(__xludf.DUMMYFUNCTION("""COMPUTED_VALUE"""),"PTBXMBS")</f>
        <v/>
      </c>
      <c r="E61" s="8">
        <f>IFERROR(__xludf.DUMMYFUNCTION("""COMPUTED_VALUE"""),"PTBXMBS")</f>
        <v/>
      </c>
      <c r="F61" s="2">
        <f>IFERROR(__xludf.DUMMYFUNCTION("""COMPUTED_VALUE"""),"xx")</f>
        <v/>
      </c>
      <c r="G61" s="8">
        <f>IFERROR(__xludf.DUMMYFUNCTION("""COMPUTED_VALUE"""),"PT")</f>
        <v/>
      </c>
      <c r="H61" s="8">
        <f>IFERROR(__xludf.DUMMYFUNCTION("""COMPUTED_VALUE"""),"PT")</f>
        <v/>
      </c>
      <c r="I61" s="18">
        <f>IFERROR(__xludf.DUMMYFUNCTION("""COMPUTED_VALUE"""),"Buổi tập")</f>
        <v/>
      </c>
      <c r="J61" s="18">
        <f>IFERROR(__xludf.DUMMYFUNCTION("""COMPUTED_VALUE"""),"1 kèm 1")</f>
        <v/>
      </c>
      <c r="K61" s="43">
        <f>IFERROR(__xludf.DUMMYFUNCTION("""COMPUTED_VALUE"""),800000)</f>
        <v/>
      </c>
      <c r="L61" s="43" t="n"/>
      <c r="M61" s="2">
        <f>IFERROR(__xludf.DUMMYFUNCTION("""COMPUTED_VALUE"""),"")</f>
        <v/>
      </c>
      <c r="N61" s="2">
        <f>IFERROR(__xludf.DUMMYFUNCTION("""COMPUTED_VALUE"""),51)</f>
        <v/>
      </c>
      <c r="O61" s="11" t="n"/>
      <c r="P61" s="2" t="n"/>
      <c r="Q61" s="45" t="n"/>
      <c r="R61" s="45" t="n"/>
    </row>
    <row r="62">
      <c r="A62" s="7">
        <f>IFERROR(__xludf.DUMMYFUNCTION("""COMPUTED_VALUE"""),59)</f>
        <v/>
      </c>
      <c r="B62" s="8">
        <f>IFERROR(__xludf.DUMMYFUNCTION("""COMPUTED_VALUE"""),"Unity")</f>
        <v/>
      </c>
      <c r="C62" s="51">
        <f>IFERROR(__xludf.DUMMYFUNCTION("""COMPUTED_VALUE"""),"PT stretching trị liệu 1 kèm 1 Non member")</f>
        <v/>
      </c>
      <c r="D62" s="8">
        <f>IFERROR(__xludf.DUMMYFUNCTION("""COMPUTED_VALUE"""),"PTTLMBS")</f>
        <v/>
      </c>
      <c r="E62" s="8">
        <f>IFERROR(__xludf.DUMMYFUNCTION("""COMPUTED_VALUE"""),"PTTLMBS")</f>
        <v/>
      </c>
      <c r="F62" s="2">
        <f>IFERROR(__xludf.DUMMYFUNCTION("""COMPUTED_VALUE"""),"xx")</f>
        <v/>
      </c>
      <c r="G62" s="8">
        <f>IFERROR(__xludf.DUMMYFUNCTION("""COMPUTED_VALUE"""),"PT")</f>
        <v/>
      </c>
      <c r="H62" s="8">
        <f>IFERROR(__xludf.DUMMYFUNCTION("""COMPUTED_VALUE"""),"PT")</f>
        <v/>
      </c>
      <c r="I62" s="18">
        <f>IFERROR(__xludf.DUMMYFUNCTION("""COMPUTED_VALUE"""),"Buổi tập")</f>
        <v/>
      </c>
      <c r="J62" s="18">
        <f>IFERROR(__xludf.DUMMYFUNCTION("""COMPUTED_VALUE"""),"1 kèm 1")</f>
        <v/>
      </c>
      <c r="K62" s="43">
        <f>IFERROR(__xludf.DUMMYFUNCTION("""COMPUTED_VALUE"""),900000)</f>
        <v/>
      </c>
      <c r="L62" s="43" t="n"/>
      <c r="M62" s="2">
        <f>IFERROR(__xludf.DUMMYFUNCTION("""COMPUTED_VALUE"""),"")</f>
        <v/>
      </c>
      <c r="N62" s="2">
        <f>IFERROR(__xludf.DUMMYFUNCTION("""COMPUTED_VALUE"""),52)</f>
        <v/>
      </c>
      <c r="O62" s="11" t="n"/>
      <c r="P62" s="2" t="n"/>
      <c r="Q62" s="45" t="n"/>
      <c r="R62" s="45" t="n"/>
    </row>
    <row r="63">
      <c r="A63" s="7">
        <f>IFERROR(__xludf.DUMMYFUNCTION("""COMPUTED_VALUE"""),60)</f>
        <v/>
      </c>
      <c r="B63" s="8">
        <f>IFERROR(__xludf.DUMMYFUNCTION("""COMPUTED_VALUE"""),"Unity")</f>
        <v/>
      </c>
      <c r="C63" s="51">
        <f>IFERROR(__xludf.DUMMYFUNCTION("""COMPUTED_VALUE"""),"PT bơi 1 kèm 1 Non member")</f>
        <v/>
      </c>
      <c r="D63" s="8">
        <f>IFERROR(__xludf.DUMMYFUNCTION("""COMPUTED_VALUE"""),"PTBMBS")</f>
        <v/>
      </c>
      <c r="E63" s="8">
        <f>IFERROR(__xludf.DUMMYFUNCTION("""COMPUTED_VALUE"""),"PTBMBS")</f>
        <v/>
      </c>
      <c r="F63" s="2">
        <f>IFERROR(__xludf.DUMMYFUNCTION("""COMPUTED_VALUE"""),"xx")</f>
        <v/>
      </c>
      <c r="G63" s="8">
        <f>IFERROR(__xludf.DUMMYFUNCTION("""COMPUTED_VALUE"""),"PT")</f>
        <v/>
      </c>
      <c r="H63" s="8">
        <f>IFERROR(__xludf.DUMMYFUNCTION("""COMPUTED_VALUE"""),"PT")</f>
        <v/>
      </c>
      <c r="I63" s="18">
        <f>IFERROR(__xludf.DUMMYFUNCTION("""COMPUTED_VALUE"""),"Buổi tập")</f>
        <v/>
      </c>
      <c r="J63" s="18">
        <f>IFERROR(__xludf.DUMMYFUNCTION("""COMPUTED_VALUE"""),"1 kèm 1")</f>
        <v/>
      </c>
      <c r="K63" s="43">
        <f>IFERROR(__xludf.DUMMYFUNCTION("""COMPUTED_VALUE"""),600000)</f>
        <v/>
      </c>
      <c r="L63" s="43" t="n"/>
      <c r="M63" s="2">
        <f>IFERROR(__xludf.DUMMYFUNCTION("""COMPUTED_VALUE"""),"")</f>
        <v/>
      </c>
      <c r="N63" s="2">
        <f>IFERROR(__xludf.DUMMYFUNCTION("""COMPUTED_VALUE"""),53)</f>
        <v/>
      </c>
      <c r="O63" s="11" t="n"/>
      <c r="P63" s="2" t="n"/>
      <c r="Q63" s="45" t="n"/>
      <c r="R63" s="45" t="n"/>
    </row>
    <row r="64">
      <c r="A64" s="7">
        <f>IFERROR(__xludf.DUMMYFUNCTION("""COMPUTED_VALUE"""),61)</f>
        <v/>
      </c>
      <c r="B64" s="8">
        <f>IFERROR(__xludf.DUMMYFUNCTION("""COMPUTED_VALUE"""),"Unity")</f>
        <v/>
      </c>
      <c r="C64" s="51">
        <f>IFERROR(__xludf.DUMMYFUNCTION("""COMPUTED_VALUE"""),"PT gym 1 kèm 2 Non member")</f>
        <v/>
      </c>
      <c r="D64" s="8">
        <f>IFERROR(__xludf.DUMMYFUNCTION("""COMPUTED_VALUE"""),"PTG1.2MBS")</f>
        <v/>
      </c>
      <c r="E64" s="8">
        <f>IFERROR(__xludf.DUMMYFUNCTION("""COMPUTED_VALUE"""),"PTG1.2MBS")</f>
        <v/>
      </c>
      <c r="F64" s="2">
        <f>IFERROR(__xludf.DUMMYFUNCTION("""COMPUTED_VALUE"""),"xx")</f>
        <v/>
      </c>
      <c r="G64" s="8">
        <f>IFERROR(__xludf.DUMMYFUNCTION("""COMPUTED_VALUE"""),"PT")</f>
        <v/>
      </c>
      <c r="H64" s="8">
        <f>IFERROR(__xludf.DUMMYFUNCTION("""COMPUTED_VALUE"""),"PT")</f>
        <v/>
      </c>
      <c r="I64" s="18">
        <f>IFERROR(__xludf.DUMMYFUNCTION("""COMPUTED_VALUE"""),"Buổi tập")</f>
        <v/>
      </c>
      <c r="J64" s="18">
        <f>IFERROR(__xludf.DUMMYFUNCTION("""COMPUTED_VALUE"""),"1 kèm 2")</f>
        <v/>
      </c>
      <c r="K64" s="43">
        <f>IFERROR(__xludf.DUMMYFUNCTION("""COMPUTED_VALUE"""),1200000)</f>
        <v/>
      </c>
      <c r="L64" s="43" t="n"/>
      <c r="M64" s="2">
        <f>IFERROR(__xludf.DUMMYFUNCTION("""COMPUTED_VALUE"""),"")</f>
        <v/>
      </c>
      <c r="N64" s="2">
        <f>IFERROR(__xludf.DUMMYFUNCTION("""COMPUTED_VALUE"""),54)</f>
        <v/>
      </c>
      <c r="O64" s="10" t="n"/>
      <c r="P64" s="2" t="n"/>
      <c r="Q64" s="45" t="n"/>
      <c r="R64" s="45" t="n"/>
    </row>
    <row r="65">
      <c r="A65" s="7">
        <f>IFERROR(__xludf.DUMMYFUNCTION("""COMPUTED_VALUE"""),62)</f>
        <v/>
      </c>
      <c r="B65" s="8">
        <f>IFERROR(__xludf.DUMMYFUNCTION("""COMPUTED_VALUE"""),"Unity")</f>
        <v/>
      </c>
      <c r="C65" s="51">
        <f>IFERROR(__xludf.DUMMYFUNCTION("""COMPUTED_VALUE"""),"PT boxing 1 kèm 2 Non member")</f>
        <v/>
      </c>
      <c r="D65" s="8">
        <f>IFERROR(__xludf.DUMMYFUNCTION("""COMPUTED_VALUE"""),"PTB1.2MBS")</f>
        <v/>
      </c>
      <c r="E65" s="8">
        <f>IFERROR(__xludf.DUMMYFUNCTION("""COMPUTED_VALUE"""),"PTB1.2MBS")</f>
        <v/>
      </c>
      <c r="F65" s="2">
        <f>IFERROR(__xludf.DUMMYFUNCTION("""COMPUTED_VALUE"""),"xx")</f>
        <v/>
      </c>
      <c r="G65" s="8">
        <f>IFERROR(__xludf.DUMMYFUNCTION("""COMPUTED_VALUE"""),"PT")</f>
        <v/>
      </c>
      <c r="H65" s="8">
        <f>IFERROR(__xludf.DUMMYFUNCTION("""COMPUTED_VALUE"""),"PT")</f>
        <v/>
      </c>
      <c r="I65" s="18">
        <f>IFERROR(__xludf.DUMMYFUNCTION("""COMPUTED_VALUE"""),"Buổi tập")</f>
        <v/>
      </c>
      <c r="J65" s="18">
        <f>IFERROR(__xludf.DUMMYFUNCTION("""COMPUTED_VALUE"""),"1 kèm 2")</f>
        <v/>
      </c>
      <c r="K65" s="43">
        <f>IFERROR(__xludf.DUMMYFUNCTION("""COMPUTED_VALUE"""),1200000)</f>
        <v/>
      </c>
      <c r="L65" s="43" t="n"/>
      <c r="M65" s="2">
        <f>IFERROR(__xludf.DUMMYFUNCTION("""COMPUTED_VALUE"""),"")</f>
        <v/>
      </c>
      <c r="N65" s="2">
        <f>IFERROR(__xludf.DUMMYFUNCTION("""COMPUTED_VALUE"""),55)</f>
        <v/>
      </c>
      <c r="O65" s="10" t="n"/>
      <c r="P65" s="2" t="n"/>
      <c r="Q65" s="45" t="n"/>
      <c r="R65" s="45" t="n"/>
    </row>
    <row r="66">
      <c r="A66" s="7">
        <f>IFERROR(__xludf.DUMMYFUNCTION("""COMPUTED_VALUE"""),63)</f>
        <v/>
      </c>
      <c r="B66" s="8">
        <f>IFERROR(__xludf.DUMMYFUNCTION("""COMPUTED_VALUE"""),"Unity")</f>
        <v/>
      </c>
      <c r="C66" s="51">
        <f>IFERROR(__xludf.DUMMYFUNCTION("""COMPUTED_VALUE"""),"PT bơi 1 kèm 2 Non member")</f>
        <v/>
      </c>
      <c r="D66" s="8">
        <f>IFERROR(__xludf.DUMMYFUNCTION("""COMPUTED_VALUE"""),"PTB1.2MBS")</f>
        <v/>
      </c>
      <c r="E66" s="8">
        <f>IFERROR(__xludf.DUMMYFUNCTION("""COMPUTED_VALUE"""),"PTBơi1.2MBS")</f>
        <v/>
      </c>
      <c r="F66" s="2">
        <f>IFERROR(__xludf.DUMMYFUNCTION("""COMPUTED_VALUE"""),"xx")</f>
        <v/>
      </c>
      <c r="G66" s="8">
        <f>IFERROR(__xludf.DUMMYFUNCTION("""COMPUTED_VALUE"""),"PT")</f>
        <v/>
      </c>
      <c r="H66" s="8">
        <f>IFERROR(__xludf.DUMMYFUNCTION("""COMPUTED_VALUE"""),"PT")</f>
        <v/>
      </c>
      <c r="I66" s="18">
        <f>IFERROR(__xludf.DUMMYFUNCTION("""COMPUTED_VALUE"""),"Buổi tập")</f>
        <v/>
      </c>
      <c r="J66" s="18">
        <f>IFERROR(__xludf.DUMMYFUNCTION("""COMPUTED_VALUE"""),"1 kèm 2")</f>
        <v/>
      </c>
      <c r="K66" s="43">
        <f>IFERROR(__xludf.DUMMYFUNCTION("""COMPUTED_VALUE"""),900000)</f>
        <v/>
      </c>
      <c r="L66" s="43" t="n"/>
      <c r="M66" s="2">
        <f>IFERROR(__xludf.DUMMYFUNCTION("""COMPUTED_VALUE"""),"")</f>
        <v/>
      </c>
      <c r="N66" s="19">
        <f>IFERROR(__xludf.DUMMYFUNCTION("""COMPUTED_VALUE"""),56)</f>
        <v/>
      </c>
      <c r="O66" s="19" t="n"/>
      <c r="P66" s="19" t="n"/>
      <c r="Q66" s="19" t="n"/>
      <c r="R66" s="19" t="n"/>
    </row>
    <row r="67">
      <c r="A67" s="7">
        <f>IFERROR(__xludf.DUMMYFUNCTION("""COMPUTED_VALUE"""),64)</f>
        <v/>
      </c>
      <c r="B67" s="8">
        <f>IFERROR(__xludf.DUMMYFUNCTION("""COMPUTED_VALUE"""),"Unity")</f>
        <v/>
      </c>
      <c r="C67" s="51">
        <f>IFERROR(__xludf.DUMMYFUNCTION("""COMPUTED_VALUE"""),"Pilates 1 kèm 1 Non member")</f>
        <v/>
      </c>
      <c r="D67" s="8">
        <f>IFERROR(__xludf.DUMMYFUNCTION("""COMPUTED_VALUE"""),"PTPMBS")</f>
        <v/>
      </c>
      <c r="E67" s="8">
        <f>IFERROR(__xludf.DUMMYFUNCTION("""COMPUTED_VALUE"""),"PTPMBS")</f>
        <v/>
      </c>
      <c r="F67" s="2">
        <f>IFERROR(__xludf.DUMMYFUNCTION("""COMPUTED_VALUE"""),"xx")</f>
        <v/>
      </c>
      <c r="G67" s="8">
        <f>IFERROR(__xludf.DUMMYFUNCTION("""COMPUTED_VALUE"""),"PT")</f>
        <v/>
      </c>
      <c r="H67" s="8">
        <f>IFERROR(__xludf.DUMMYFUNCTION("""COMPUTED_VALUE"""),"PT")</f>
        <v/>
      </c>
      <c r="I67" s="18">
        <f>IFERROR(__xludf.DUMMYFUNCTION("""COMPUTED_VALUE"""),"Buổi tập")</f>
        <v/>
      </c>
      <c r="J67" s="18">
        <f>IFERROR(__xludf.DUMMYFUNCTION("""COMPUTED_VALUE"""),"1 kèm 1")</f>
        <v/>
      </c>
      <c r="K67" s="43">
        <f>IFERROR(__xludf.DUMMYFUNCTION("""COMPUTED_VALUE"""),1000000)</f>
        <v/>
      </c>
      <c r="L67" s="43" t="n"/>
      <c r="M67" s="2">
        <f>IFERROR(__xludf.DUMMYFUNCTION("""COMPUTED_VALUE"""),"")</f>
        <v/>
      </c>
      <c r="N67" s="19">
        <f>IFERROR(__xludf.DUMMYFUNCTION("""COMPUTED_VALUE"""),57)</f>
        <v/>
      </c>
      <c r="O67" s="19" t="n"/>
      <c r="P67" s="19" t="n"/>
      <c r="Q67" s="19" t="n"/>
      <c r="R67" s="19" t="n"/>
    </row>
    <row r="68">
      <c r="A68" s="7">
        <f>IFERROR(__xludf.DUMMYFUNCTION("""COMPUTED_VALUE"""),65)</f>
        <v/>
      </c>
      <c r="B68" s="8">
        <f>IFERROR(__xludf.DUMMYFUNCTION("""COMPUTED_VALUE"""),"Unity")</f>
        <v/>
      </c>
      <c r="C68" s="51">
        <f>IFERROR(__xludf.DUMMYFUNCTION("""COMPUTED_VALUE"""),"Pilates 1 kèm 2 Non member")</f>
        <v/>
      </c>
      <c r="D68" s="8">
        <f>IFERROR(__xludf.DUMMYFUNCTION("""COMPUTED_VALUE"""),"PTP1.2MBS")</f>
        <v/>
      </c>
      <c r="E68" s="8">
        <f>IFERROR(__xludf.DUMMYFUNCTION("""COMPUTED_VALUE"""),"PTP1.2MBS")</f>
        <v/>
      </c>
      <c r="F68" s="2">
        <f>IFERROR(__xludf.DUMMYFUNCTION("""COMPUTED_VALUE"""),"xx")</f>
        <v/>
      </c>
      <c r="G68" s="8">
        <f>IFERROR(__xludf.DUMMYFUNCTION("""COMPUTED_VALUE"""),"PT")</f>
        <v/>
      </c>
      <c r="H68" s="8">
        <f>IFERROR(__xludf.DUMMYFUNCTION("""COMPUTED_VALUE"""),"PT")</f>
        <v/>
      </c>
      <c r="I68" s="18">
        <f>IFERROR(__xludf.DUMMYFUNCTION("""COMPUTED_VALUE"""),"Buổi tập")</f>
        <v/>
      </c>
      <c r="J68" s="18">
        <f>IFERROR(__xludf.DUMMYFUNCTION("""COMPUTED_VALUE"""),"1 kèm 2")</f>
        <v/>
      </c>
      <c r="K68" s="43">
        <f>IFERROR(__xludf.DUMMYFUNCTION("""COMPUTED_VALUE"""),1500000)</f>
        <v/>
      </c>
      <c r="L68" s="43" t="n"/>
      <c r="M68" s="2">
        <f>IFERROR(__xludf.DUMMYFUNCTION("""COMPUTED_VALUE"""),"")</f>
        <v/>
      </c>
      <c r="N68" s="19" t="n"/>
      <c r="O68" s="19" t="n"/>
      <c r="P68" s="19" t="n"/>
      <c r="Q68" s="19" t="n"/>
      <c r="R68" s="19" t="n"/>
    </row>
    <row r="69">
      <c r="A69" s="7">
        <f>IFERROR(__xludf.DUMMYFUNCTION("""COMPUTED_VALUE"""),66)</f>
        <v/>
      </c>
      <c r="B69" s="8">
        <f>IFERROR(__xludf.DUMMYFUNCTION("""COMPUTED_VALUE"""),"Unity")</f>
        <v/>
      </c>
      <c r="C69" s="51">
        <f>IFERROR(__xludf.DUMMYFUNCTION("""COMPUTED_VALUE"""),"Pilates 1 kèm 3 Non member")</f>
        <v/>
      </c>
      <c r="D69" s="8">
        <f>IFERROR(__xludf.DUMMYFUNCTION("""COMPUTED_VALUE"""),"PTP1.3MBS")</f>
        <v/>
      </c>
      <c r="E69" s="8">
        <f>IFERROR(__xludf.DUMMYFUNCTION("""COMPUTED_VALUE"""),"PTP1.3MBS")</f>
        <v/>
      </c>
      <c r="F69" s="2">
        <f>IFERROR(__xludf.DUMMYFUNCTION("""COMPUTED_VALUE"""),"xx")</f>
        <v/>
      </c>
      <c r="G69" s="8">
        <f>IFERROR(__xludf.DUMMYFUNCTION("""COMPUTED_VALUE"""),"PT")</f>
        <v/>
      </c>
      <c r="H69" s="8">
        <f>IFERROR(__xludf.DUMMYFUNCTION("""COMPUTED_VALUE"""),"PT")</f>
        <v/>
      </c>
      <c r="I69" s="18">
        <f>IFERROR(__xludf.DUMMYFUNCTION("""COMPUTED_VALUE"""),"Buổi tập")</f>
        <v/>
      </c>
      <c r="J69" s="18">
        <f>IFERROR(__xludf.DUMMYFUNCTION("""COMPUTED_VALUE"""),"1 kèm 3")</f>
        <v/>
      </c>
      <c r="K69" s="43">
        <f>IFERROR(__xludf.DUMMYFUNCTION("""COMPUTED_VALUE"""),1750000)</f>
        <v/>
      </c>
      <c r="L69" s="43" t="n"/>
      <c r="M69" s="2">
        <f>IFERROR(__xludf.DUMMYFUNCTION("""COMPUTED_VALUE"""),"")</f>
        <v/>
      </c>
      <c r="N69" s="19" t="n"/>
      <c r="O69" s="19" t="n"/>
      <c r="P69" s="19" t="n"/>
      <c r="Q69" s="19" t="n"/>
      <c r="R69" s="19" t="n"/>
    </row>
    <row r="70">
      <c r="A70" s="7">
        <f>IFERROR(__xludf.DUMMYFUNCTION("""COMPUTED_VALUE"""),67)</f>
        <v/>
      </c>
      <c r="B70" s="8">
        <f>IFERROR(__xludf.DUMMYFUNCTION("""COMPUTED_VALUE"""),"Unity")</f>
        <v/>
      </c>
      <c r="C70" s="51">
        <f>IFERROR(__xludf.DUMMYFUNCTION("""COMPUTED_VALUE"""),"Pilates 1 kèm 4 Non member")</f>
        <v/>
      </c>
      <c r="D70" s="8">
        <f>IFERROR(__xludf.DUMMYFUNCTION("""COMPUTED_VALUE"""),"PTP1.4MBS")</f>
        <v/>
      </c>
      <c r="E70" s="8">
        <f>IFERROR(__xludf.DUMMYFUNCTION("""COMPUTED_VALUE"""),"PTP1.4MBS")</f>
        <v/>
      </c>
      <c r="F70" s="2">
        <f>IFERROR(__xludf.DUMMYFUNCTION("""COMPUTED_VALUE"""),"xx")</f>
        <v/>
      </c>
      <c r="G70" s="8">
        <f>IFERROR(__xludf.DUMMYFUNCTION("""COMPUTED_VALUE"""),"PT")</f>
        <v/>
      </c>
      <c r="H70" s="8">
        <f>IFERROR(__xludf.DUMMYFUNCTION("""COMPUTED_VALUE"""),"PT")</f>
        <v/>
      </c>
      <c r="I70" s="18">
        <f>IFERROR(__xludf.DUMMYFUNCTION("""COMPUTED_VALUE"""),"Buổi tập")</f>
        <v/>
      </c>
      <c r="J70" s="18">
        <f>IFERROR(__xludf.DUMMYFUNCTION("""COMPUTED_VALUE"""),"1 kèm 4")</f>
        <v/>
      </c>
      <c r="K70" s="43">
        <f>IFERROR(__xludf.DUMMYFUNCTION("""COMPUTED_VALUE"""),2000000)</f>
        <v/>
      </c>
      <c r="L70" s="43" t="n"/>
      <c r="M70" s="2">
        <f>IFERROR(__xludf.DUMMYFUNCTION("""COMPUTED_VALUE"""),"")</f>
        <v/>
      </c>
      <c r="N70" s="19" t="n"/>
      <c r="O70" s="19" t="n"/>
      <c r="P70" s="19" t="n"/>
      <c r="Q70" s="19" t="n"/>
      <c r="R70" s="19" t="n"/>
    </row>
    <row r="71">
      <c r="A71" s="7">
        <f>IFERROR(__xludf.DUMMYFUNCTION("""COMPUTED_VALUE"""),68)</f>
        <v/>
      </c>
      <c r="B71" s="8">
        <f>IFERROR(__xludf.DUMMYFUNCTION("""COMPUTED_VALUE"""),"Unity")</f>
        <v/>
      </c>
      <c r="C71" s="51">
        <f>IFERROR(__xludf.DUMMYFUNCTION("""COMPUTED_VALUE"""),"Group X pro skill 1 kèm 1 Non member")</f>
        <v/>
      </c>
      <c r="D71" s="8">
        <f>IFERROR(__xludf.DUMMYFUNCTION("""COMPUTED_VALUE"""),"PTGXMBS")</f>
        <v/>
      </c>
      <c r="E71" s="8">
        <f>IFERROR(__xludf.DUMMYFUNCTION("""COMPUTED_VALUE"""),"PTGXMBS")</f>
        <v/>
      </c>
      <c r="F71" s="2">
        <f>IFERROR(__xludf.DUMMYFUNCTION("""COMPUTED_VALUE"""),"xx")</f>
        <v/>
      </c>
      <c r="G71" s="8">
        <f>IFERROR(__xludf.DUMMYFUNCTION("""COMPUTED_VALUE"""),"PT")</f>
        <v/>
      </c>
      <c r="H71" s="8">
        <f>IFERROR(__xludf.DUMMYFUNCTION("""COMPUTED_VALUE"""),"PT")</f>
        <v/>
      </c>
      <c r="I71" s="18">
        <f>IFERROR(__xludf.DUMMYFUNCTION("""COMPUTED_VALUE"""),"Buổi tập")</f>
        <v/>
      </c>
      <c r="J71" s="18">
        <f>IFERROR(__xludf.DUMMYFUNCTION("""COMPUTED_VALUE"""),"1 kèm 1")</f>
        <v/>
      </c>
      <c r="K71" s="43">
        <f>IFERROR(__xludf.DUMMYFUNCTION("""COMPUTED_VALUE"""),800000)</f>
        <v/>
      </c>
      <c r="L71" s="43" t="n"/>
      <c r="M71" s="2">
        <f>IFERROR(__xludf.DUMMYFUNCTION("""COMPUTED_VALUE"""),"")</f>
        <v/>
      </c>
      <c r="N71" s="19" t="n"/>
      <c r="O71" s="19" t="n"/>
      <c r="P71" s="19" t="n"/>
      <c r="Q71" s="19" t="n"/>
      <c r="R71" s="19" t="n"/>
    </row>
    <row r="72">
      <c r="A72" s="7">
        <f>IFERROR(__xludf.DUMMYFUNCTION("""COMPUTED_VALUE"""),69)</f>
        <v/>
      </c>
      <c r="B72" s="8">
        <f>IFERROR(__xludf.DUMMYFUNCTION("""COMPUTED_VALUE"""),"Unity")</f>
        <v/>
      </c>
      <c r="C72" s="51">
        <f>IFERROR(__xludf.DUMMYFUNCTION("""COMPUTED_VALUE"""),"Group X pro skill 1 kèm 2 Non member")</f>
        <v/>
      </c>
      <c r="D72" s="8">
        <f>IFERROR(__xludf.DUMMYFUNCTION("""COMPUTED_VALUE"""),"PTGX1.2MBS")</f>
        <v/>
      </c>
      <c r="E72" s="8">
        <f>IFERROR(__xludf.DUMMYFUNCTION("""COMPUTED_VALUE"""),"PTGX1.2MBS")</f>
        <v/>
      </c>
      <c r="F72" s="2">
        <f>IFERROR(__xludf.DUMMYFUNCTION("""COMPUTED_VALUE"""),"xx")</f>
        <v/>
      </c>
      <c r="G72" s="8">
        <f>IFERROR(__xludf.DUMMYFUNCTION("""COMPUTED_VALUE"""),"PT")</f>
        <v/>
      </c>
      <c r="H72" s="8">
        <f>IFERROR(__xludf.DUMMYFUNCTION("""COMPUTED_VALUE"""),"PT")</f>
        <v/>
      </c>
      <c r="I72" s="18">
        <f>IFERROR(__xludf.DUMMYFUNCTION("""COMPUTED_VALUE"""),"Buổi tập")</f>
        <v/>
      </c>
      <c r="J72" s="18">
        <f>IFERROR(__xludf.DUMMYFUNCTION("""COMPUTED_VALUE"""),"1 kèm 2")</f>
        <v/>
      </c>
      <c r="K72" s="43">
        <f>IFERROR(__xludf.DUMMYFUNCTION("""COMPUTED_VALUE"""),1200000)</f>
        <v/>
      </c>
      <c r="L72" s="43" t="n"/>
      <c r="M72" s="2">
        <f>IFERROR(__xludf.DUMMYFUNCTION("""COMPUTED_VALUE"""),"")</f>
        <v/>
      </c>
      <c r="N72" s="19" t="n"/>
      <c r="O72" s="19" t="n"/>
      <c r="P72" s="19" t="n"/>
      <c r="Q72" s="19" t="n"/>
      <c r="R72" s="19" t="n"/>
    </row>
    <row r="73">
      <c r="A73" s="7">
        <f>IFERROR(__xludf.DUMMYFUNCTION("""COMPUTED_VALUE"""),70)</f>
        <v/>
      </c>
      <c r="B73" s="8">
        <f>IFERROR(__xludf.DUMMYFUNCTION("""COMPUTED_VALUE"""),"Unity")</f>
        <v/>
      </c>
      <c r="C73" s="51">
        <f>IFERROR(__xludf.DUMMYFUNCTION("""COMPUTED_VALUE"""),"Group X pro skill 1 kèm 3 Non member")</f>
        <v/>
      </c>
      <c r="D73" s="8">
        <f>IFERROR(__xludf.DUMMYFUNCTION("""COMPUTED_VALUE"""),"PTGX1.3MBS")</f>
        <v/>
      </c>
      <c r="E73" s="8">
        <f>IFERROR(__xludf.DUMMYFUNCTION("""COMPUTED_VALUE"""),"PTGX1.3MBS")</f>
        <v/>
      </c>
      <c r="F73" s="2">
        <f>IFERROR(__xludf.DUMMYFUNCTION("""COMPUTED_VALUE"""),"xx")</f>
        <v/>
      </c>
      <c r="G73" s="8">
        <f>IFERROR(__xludf.DUMMYFUNCTION("""COMPUTED_VALUE"""),"PT")</f>
        <v/>
      </c>
      <c r="H73" s="8">
        <f>IFERROR(__xludf.DUMMYFUNCTION("""COMPUTED_VALUE"""),"PT")</f>
        <v/>
      </c>
      <c r="I73" s="18">
        <f>IFERROR(__xludf.DUMMYFUNCTION("""COMPUTED_VALUE"""),"Buổi tập")</f>
        <v/>
      </c>
      <c r="J73" s="18">
        <f>IFERROR(__xludf.DUMMYFUNCTION("""COMPUTED_VALUE"""),"1 kèm 3")</f>
        <v/>
      </c>
      <c r="K73" s="43">
        <f>IFERROR(__xludf.DUMMYFUNCTION("""COMPUTED_VALUE"""),1400000)</f>
        <v/>
      </c>
      <c r="L73" s="43" t="n"/>
      <c r="M73" s="2">
        <f>IFERROR(__xludf.DUMMYFUNCTION("""COMPUTED_VALUE"""),"")</f>
        <v/>
      </c>
      <c r="N73" s="19" t="n"/>
      <c r="O73" s="19" t="n"/>
      <c r="P73" s="19" t="n"/>
      <c r="Q73" s="19" t="n"/>
      <c r="R73" s="19" t="n"/>
    </row>
    <row r="74">
      <c r="A74" s="7">
        <f>IFERROR(__xludf.DUMMYFUNCTION("""COMPUTED_VALUE"""),71)</f>
        <v/>
      </c>
      <c r="B74" s="8">
        <f>IFERROR(__xludf.DUMMYFUNCTION("""COMPUTED_VALUE"""),"Unity")</f>
        <v/>
      </c>
      <c r="C74" s="51">
        <f>IFERROR(__xludf.DUMMYFUNCTION("""COMPUTED_VALUE"""),"Group X pro skill 1 kèm 4 Non member")</f>
        <v/>
      </c>
      <c r="D74" s="8">
        <f>IFERROR(__xludf.DUMMYFUNCTION("""COMPUTED_VALUE"""),"PTGX1.4MBS")</f>
        <v/>
      </c>
      <c r="E74" s="8">
        <f>IFERROR(__xludf.DUMMYFUNCTION("""COMPUTED_VALUE"""),"PTGX1.4MBS")</f>
        <v/>
      </c>
      <c r="F74" s="2">
        <f>IFERROR(__xludf.DUMMYFUNCTION("""COMPUTED_VALUE"""),"xx")</f>
        <v/>
      </c>
      <c r="G74" s="8">
        <f>IFERROR(__xludf.DUMMYFUNCTION("""COMPUTED_VALUE"""),"PT")</f>
        <v/>
      </c>
      <c r="H74" s="8">
        <f>IFERROR(__xludf.DUMMYFUNCTION("""COMPUTED_VALUE"""),"PT")</f>
        <v/>
      </c>
      <c r="I74" s="18">
        <f>IFERROR(__xludf.DUMMYFUNCTION("""COMPUTED_VALUE"""),"Buổi tập")</f>
        <v/>
      </c>
      <c r="J74" s="18">
        <f>IFERROR(__xludf.DUMMYFUNCTION("""COMPUTED_VALUE"""),"1 kèm 4")</f>
        <v/>
      </c>
      <c r="K74" s="43">
        <f>IFERROR(__xludf.DUMMYFUNCTION("""COMPUTED_VALUE"""),1600000)</f>
        <v/>
      </c>
      <c r="L74" s="43" t="n"/>
      <c r="M74" s="2">
        <f>IFERROR(__xludf.DUMMYFUNCTION("""COMPUTED_VALUE"""),"")</f>
        <v/>
      </c>
      <c r="N74" s="19" t="n"/>
      <c r="O74" s="19" t="n"/>
      <c r="P74" s="19" t="n"/>
      <c r="Q74" s="19" t="n"/>
      <c r="R74" s="19" t="n"/>
    </row>
    <row r="75">
      <c r="A75" s="7">
        <f>IFERROR(__xludf.DUMMYFUNCTION("""COMPUTED_VALUE"""),72)</f>
        <v/>
      </c>
      <c r="B75" s="8">
        <f>IFERROR(__xludf.DUMMYFUNCTION("""COMPUTED_VALUE"""),"Unity")</f>
        <v/>
      </c>
      <c r="C75" s="51">
        <f>IFERROR(__xludf.DUMMYFUNCTION("""COMPUTED_VALUE"""),"Aerial 1 kèm 1 Non member")</f>
        <v/>
      </c>
      <c r="D75" s="8">
        <f>IFERROR(__xludf.DUMMYFUNCTION("""COMPUTED_VALUE"""),"PTAMBS")</f>
        <v/>
      </c>
      <c r="E75" s="8">
        <f>IFERROR(__xludf.DUMMYFUNCTION("""COMPUTED_VALUE"""),"PTAMBS")</f>
        <v/>
      </c>
      <c r="F75" s="2">
        <f>IFERROR(__xludf.DUMMYFUNCTION("""COMPUTED_VALUE"""),"xx")</f>
        <v/>
      </c>
      <c r="G75" s="8">
        <f>IFERROR(__xludf.DUMMYFUNCTION("""COMPUTED_VALUE"""),"PT")</f>
        <v/>
      </c>
      <c r="H75" s="8">
        <f>IFERROR(__xludf.DUMMYFUNCTION("""COMPUTED_VALUE"""),"PT")</f>
        <v/>
      </c>
      <c r="I75" s="18">
        <f>IFERROR(__xludf.DUMMYFUNCTION("""COMPUTED_VALUE"""),"Buổi tập")</f>
        <v/>
      </c>
      <c r="J75" s="18">
        <f>IFERROR(__xludf.DUMMYFUNCTION("""COMPUTED_VALUE"""),"1 kèm 1")</f>
        <v/>
      </c>
      <c r="K75" s="43">
        <f>IFERROR(__xludf.DUMMYFUNCTION("""COMPUTED_VALUE"""),1000000)</f>
        <v/>
      </c>
      <c r="L75" s="43" t="n"/>
      <c r="M75" s="2">
        <f>IFERROR(__xludf.DUMMYFUNCTION("""COMPUTED_VALUE"""),"")</f>
        <v/>
      </c>
      <c r="N75" s="19" t="n"/>
      <c r="O75" s="19" t="n"/>
      <c r="P75" s="19" t="n"/>
      <c r="Q75" s="19" t="n"/>
      <c r="R75" s="19" t="n"/>
    </row>
    <row r="76">
      <c r="A76" s="7">
        <f>IFERROR(__xludf.DUMMYFUNCTION("""COMPUTED_VALUE"""),73)</f>
        <v/>
      </c>
      <c r="B76" s="8">
        <f>IFERROR(__xludf.DUMMYFUNCTION("""COMPUTED_VALUE"""),"Unity")</f>
        <v/>
      </c>
      <c r="C76" s="51">
        <f>IFERROR(__xludf.DUMMYFUNCTION("""COMPUTED_VALUE"""),"Aerial 1 kèm 2 Non member")</f>
        <v/>
      </c>
      <c r="D76" s="8">
        <f>IFERROR(__xludf.DUMMYFUNCTION("""COMPUTED_VALUE"""),"PTA1.2MBS")</f>
        <v/>
      </c>
      <c r="E76" s="8">
        <f>IFERROR(__xludf.DUMMYFUNCTION("""COMPUTED_VALUE"""),"PTA1.2MBS")</f>
        <v/>
      </c>
      <c r="F76" s="2">
        <f>IFERROR(__xludf.DUMMYFUNCTION("""COMPUTED_VALUE"""),"xx")</f>
        <v/>
      </c>
      <c r="G76" s="8">
        <f>IFERROR(__xludf.DUMMYFUNCTION("""COMPUTED_VALUE"""),"PT")</f>
        <v/>
      </c>
      <c r="H76" s="8">
        <f>IFERROR(__xludf.DUMMYFUNCTION("""COMPUTED_VALUE"""),"PT")</f>
        <v/>
      </c>
      <c r="I76" s="18">
        <f>IFERROR(__xludf.DUMMYFUNCTION("""COMPUTED_VALUE"""),"Buổi tập")</f>
        <v/>
      </c>
      <c r="J76" s="18">
        <f>IFERROR(__xludf.DUMMYFUNCTION("""COMPUTED_VALUE"""),"1 kèm 2")</f>
        <v/>
      </c>
      <c r="K76" s="43">
        <f>IFERROR(__xludf.DUMMYFUNCTION("""COMPUTED_VALUE"""),1500000)</f>
        <v/>
      </c>
      <c r="L76" s="43" t="n"/>
      <c r="M76" s="2">
        <f>IFERROR(__xludf.DUMMYFUNCTION("""COMPUTED_VALUE"""),"")</f>
        <v/>
      </c>
      <c r="N76" s="19" t="n"/>
      <c r="O76" s="19" t="n"/>
      <c r="P76" s="19" t="n"/>
      <c r="Q76" s="19" t="n"/>
      <c r="R76" s="19" t="n"/>
    </row>
    <row r="77">
      <c r="A77" s="7">
        <f>IFERROR(__xludf.DUMMYFUNCTION("""COMPUTED_VALUE"""),74)</f>
        <v/>
      </c>
      <c r="B77" s="20">
        <f>IFERROR(__xludf.DUMMYFUNCTION("""COMPUTED_VALUE"""),"Unity")</f>
        <v/>
      </c>
      <c r="C77" s="21">
        <f>IFERROR(__xludf.DUMMYFUNCTION("""COMPUTED_VALUE"""),"Aerial 1 kèm 3 Non member")</f>
        <v/>
      </c>
      <c r="D77" s="20">
        <f>IFERROR(__xludf.DUMMYFUNCTION("""COMPUTED_VALUE"""),"PTA1.3MBS")</f>
        <v/>
      </c>
      <c r="E77" s="20">
        <f>IFERROR(__xludf.DUMMYFUNCTION("""COMPUTED_VALUE"""),"PTA1.3MBS")</f>
        <v/>
      </c>
      <c r="F77" s="2">
        <f>IFERROR(__xludf.DUMMYFUNCTION("""COMPUTED_VALUE"""),"xx")</f>
        <v/>
      </c>
      <c r="G77" s="8">
        <f>IFERROR(__xludf.DUMMYFUNCTION("""COMPUTED_VALUE"""),"PT")</f>
        <v/>
      </c>
      <c r="H77" s="8">
        <f>IFERROR(__xludf.DUMMYFUNCTION("""COMPUTED_VALUE"""),"PT")</f>
        <v/>
      </c>
      <c r="I77" s="18">
        <f>IFERROR(__xludf.DUMMYFUNCTION("""COMPUTED_VALUE"""),"Buổi tập")</f>
        <v/>
      </c>
      <c r="J77" s="18">
        <f>IFERROR(__xludf.DUMMYFUNCTION("""COMPUTED_VALUE"""),"1 kèm 3")</f>
        <v/>
      </c>
      <c r="K77" s="47">
        <f>IFERROR(__xludf.DUMMYFUNCTION("""COMPUTED_VALUE"""),1750000)</f>
        <v/>
      </c>
      <c r="L77" s="44" t="n"/>
      <c r="M77" s="2">
        <f>IFERROR(__xludf.DUMMYFUNCTION("""COMPUTED_VALUE"""),"")</f>
        <v/>
      </c>
      <c r="N77" s="19" t="n"/>
      <c r="O77" s="19" t="n"/>
      <c r="P77" s="19" t="n"/>
      <c r="Q77" s="19" t="n"/>
      <c r="R77" s="19" t="n"/>
    </row>
    <row r="78">
      <c r="A78" s="7">
        <f>IFERROR(__xludf.DUMMYFUNCTION("""COMPUTED_VALUE"""),75)</f>
        <v/>
      </c>
      <c r="B78" s="20">
        <f>IFERROR(__xludf.DUMMYFUNCTION("""COMPUTED_VALUE"""),"Unity")</f>
        <v/>
      </c>
      <c r="C78" s="21">
        <f>IFERROR(__xludf.DUMMYFUNCTION("""COMPUTED_VALUE"""),"Aerial 1 kèm 4 Non member")</f>
        <v/>
      </c>
      <c r="D78" s="20">
        <f>IFERROR(__xludf.DUMMYFUNCTION("""COMPUTED_VALUE"""),"PTA1.4MBS")</f>
        <v/>
      </c>
      <c r="E78" s="20">
        <f>IFERROR(__xludf.DUMMYFUNCTION("""COMPUTED_VALUE"""),"PTA1.4MBS")</f>
        <v/>
      </c>
      <c r="F78" s="2">
        <f>IFERROR(__xludf.DUMMYFUNCTION("""COMPUTED_VALUE"""),"xx")</f>
        <v/>
      </c>
      <c r="G78" s="8">
        <f>IFERROR(__xludf.DUMMYFUNCTION("""COMPUTED_VALUE"""),"PT")</f>
        <v/>
      </c>
      <c r="H78" s="8">
        <f>IFERROR(__xludf.DUMMYFUNCTION("""COMPUTED_VALUE"""),"PT")</f>
        <v/>
      </c>
      <c r="I78" s="18">
        <f>IFERROR(__xludf.DUMMYFUNCTION("""COMPUTED_VALUE"""),"Buổi tập")</f>
        <v/>
      </c>
      <c r="J78" s="18">
        <f>IFERROR(__xludf.DUMMYFUNCTION("""COMPUTED_VALUE"""),"1 kèm 4")</f>
        <v/>
      </c>
      <c r="K78" s="47">
        <f>IFERROR(__xludf.DUMMYFUNCTION("""COMPUTED_VALUE"""),2000000)</f>
        <v/>
      </c>
      <c r="L78" s="44" t="n"/>
      <c r="M78" s="2">
        <f>IFERROR(__xludf.DUMMYFUNCTION("""COMPUTED_VALUE"""),"")</f>
        <v/>
      </c>
      <c r="N78" s="19" t="n"/>
      <c r="O78" s="19" t="n"/>
      <c r="P78" s="19" t="n"/>
      <c r="Q78" s="19" t="n"/>
      <c r="R78" s="19" t="n"/>
    </row>
    <row r="79">
      <c r="A79" s="7">
        <f>IFERROR(__xludf.DUMMYFUNCTION("""COMPUTED_VALUE"""),76)</f>
        <v/>
      </c>
      <c r="B79" s="8">
        <f>IFERROR(__xludf.DUMMYFUNCTION("""COMPUTED_VALUE"""),"Unity")</f>
        <v/>
      </c>
      <c r="C79" s="51">
        <f>IFERROR(__xludf.DUMMYFUNCTION("""COMPUTED_VALUE"""),"Bơi ếch")</f>
        <v/>
      </c>
      <c r="D79" s="8" t="n"/>
      <c r="E79" s="8">
        <f>IFERROR(__xludf.DUMMYFUNCTION("""COMPUTED_VALUE"""),"BE8B")</f>
        <v/>
      </c>
      <c r="F79" s="2">
        <f>IFERROR(__xludf.DUMMYFUNCTION("""COMPUTED_VALUE"""),"xx")</f>
        <v/>
      </c>
      <c r="G79" s="8">
        <f>IFERROR(__xludf.DUMMYFUNCTION("""COMPUTED_VALUE"""),"K.Bơi")</f>
        <v/>
      </c>
      <c r="H79" s="8">
        <f>IFERROR(__xludf.DUMMYFUNCTION("""COMPUTED_VALUE"""),"K.Bơi")</f>
        <v/>
      </c>
      <c r="I79" s="18">
        <f>IFERROR(__xludf.DUMMYFUNCTION("""COMPUTED_VALUE"""),"8 buổi")</f>
        <v/>
      </c>
      <c r="J79" s="18">
        <f>IFERROR(__xludf.DUMMYFUNCTION("""COMPUTED_VALUE"""),"8 buổi")</f>
        <v/>
      </c>
      <c r="K79" s="48">
        <f>IFERROR(__xludf.DUMMYFUNCTION("""COMPUTED_VALUE"""),3200000)</f>
        <v/>
      </c>
      <c r="L79" s="46" t="n"/>
      <c r="M79" s="2">
        <f>IFERROR(__xludf.DUMMYFUNCTION("""COMPUTED_VALUE"""),"Ngưng SD")</f>
        <v/>
      </c>
      <c r="N79" s="22" t="n"/>
      <c r="O79" s="22" t="n"/>
      <c r="P79" s="22" t="n"/>
      <c r="Q79" s="22" t="n"/>
      <c r="R79" s="22" t="n"/>
    </row>
    <row r="80">
      <c r="A80" s="7">
        <f>IFERROR(__xludf.DUMMYFUNCTION("""COMPUTED_VALUE"""),77)</f>
        <v/>
      </c>
      <c r="B80" s="20">
        <f>IFERROR(__xludf.DUMMYFUNCTION("""COMPUTED_VALUE"""),"Unity")</f>
        <v/>
      </c>
      <c r="C80" s="21">
        <f>IFERROR(__xludf.DUMMYFUNCTION("""COMPUTED_VALUE"""),"Bơi sải")</f>
        <v/>
      </c>
      <c r="D80" s="20" t="n"/>
      <c r="E80" s="20">
        <f>IFERROR(__xludf.DUMMYFUNCTION("""COMPUTED_VALUE"""),"BS8B")</f>
        <v/>
      </c>
      <c r="F80" s="2">
        <f>IFERROR(__xludf.DUMMYFUNCTION("""COMPUTED_VALUE"""),"xx")</f>
        <v/>
      </c>
      <c r="G80" s="8">
        <f>IFERROR(__xludf.DUMMYFUNCTION("""COMPUTED_VALUE"""),"Bơi")</f>
        <v/>
      </c>
      <c r="H80" s="8">
        <f>IFERROR(__xludf.DUMMYFUNCTION("""COMPUTED_VALUE"""),"Bơi")</f>
        <v/>
      </c>
      <c r="I80" s="18">
        <f>IFERROR(__xludf.DUMMYFUNCTION("""COMPUTED_VALUE"""),"8 buổi")</f>
        <v/>
      </c>
      <c r="J80" s="18">
        <f>IFERROR(__xludf.DUMMYFUNCTION("""COMPUTED_VALUE"""),"8 buổi")</f>
        <v/>
      </c>
      <c r="K80" s="47">
        <f>IFERROR(__xludf.DUMMYFUNCTION("""COMPUTED_VALUE"""),4800000)</f>
        <v/>
      </c>
      <c r="L80" s="46" t="n"/>
      <c r="M80" s="2">
        <f>IFERROR(__xludf.DUMMYFUNCTION("""COMPUTED_VALUE"""),"Ngưng SD")</f>
        <v/>
      </c>
      <c r="N80" s="22" t="n"/>
      <c r="O80" s="22" t="n"/>
      <c r="P80" s="22" t="n"/>
      <c r="Q80" s="22" t="n"/>
      <c r="R80" s="22" t="n"/>
    </row>
    <row r="81">
      <c r="A81" s="7">
        <f>IFERROR(__xludf.DUMMYFUNCTION("""COMPUTED_VALUE"""),78)</f>
        <v/>
      </c>
      <c r="B81" s="20">
        <f>IFERROR(__xludf.DUMMYFUNCTION("""COMPUTED_VALUE"""),"Unity")</f>
        <v/>
      </c>
      <c r="C81" s="21">
        <f>IFERROR(__xludf.DUMMYFUNCTION("""COMPUTED_VALUE"""),"Bơi bướm")</f>
        <v/>
      </c>
      <c r="D81" s="20" t="n"/>
      <c r="E81" s="20">
        <f>IFERROR(__xludf.DUMMYFUNCTION("""COMPUTED_VALUE"""),"BB8B")</f>
        <v/>
      </c>
      <c r="F81" s="2">
        <f>IFERROR(__xludf.DUMMYFUNCTION("""COMPUTED_VALUE"""),"xx")</f>
        <v/>
      </c>
      <c r="G81" s="8">
        <f>IFERROR(__xludf.DUMMYFUNCTION("""COMPUTED_VALUE"""),"Bơi")</f>
        <v/>
      </c>
      <c r="H81" s="8">
        <f>IFERROR(__xludf.DUMMYFUNCTION("""COMPUTED_VALUE"""),"Bơi")</f>
        <v/>
      </c>
      <c r="I81" s="18">
        <f>IFERROR(__xludf.DUMMYFUNCTION("""COMPUTED_VALUE"""),"8 buổi")</f>
        <v/>
      </c>
      <c r="J81" s="18">
        <f>IFERROR(__xludf.DUMMYFUNCTION("""COMPUTED_VALUE"""),"8 buổi")</f>
        <v/>
      </c>
      <c r="K81" s="47">
        <f>IFERROR(__xludf.DUMMYFUNCTION("""COMPUTED_VALUE"""),6500000)</f>
        <v/>
      </c>
      <c r="L81" s="46" t="n"/>
      <c r="M81" s="2">
        <f>IFERROR(__xludf.DUMMYFUNCTION("""COMPUTED_VALUE"""),"Ngưng SD")</f>
        <v/>
      </c>
      <c r="N81" s="22" t="n"/>
      <c r="O81" s="22" t="n"/>
      <c r="P81" s="22" t="n"/>
      <c r="Q81" s="22" t="n"/>
      <c r="R81" s="22" t="n"/>
    </row>
    <row r="82">
      <c r="A82" s="7">
        <f>IFERROR(__xludf.DUMMYFUNCTION("""COMPUTED_VALUE"""),79)</f>
        <v/>
      </c>
      <c r="B82" s="8">
        <f>IFERROR(__xludf.DUMMYFUNCTION("""COMPUTED_VALUE"""),"Unity")</f>
        <v/>
      </c>
      <c r="C82" s="51">
        <f>IFERROR(__xludf.DUMMYFUNCTION("""COMPUTED_VALUE"""),"Bơi ếch")</f>
        <v/>
      </c>
      <c r="D82" s="8" t="n"/>
      <c r="E82" s="20">
        <f>IFERROR(__xludf.DUMMYFUNCTION("""COMPUTED_VALUE"""),"BE8B1T")</f>
        <v/>
      </c>
      <c r="F82" s="2">
        <f>IFERROR(__xludf.DUMMYFUNCTION("""COMPUTED_VALUE"""),"xx")</f>
        <v/>
      </c>
      <c r="G82" s="8">
        <f>IFERROR(__xludf.DUMMYFUNCTION("""COMPUTED_VALUE"""),"Bơi")</f>
        <v/>
      </c>
      <c r="H82" s="8">
        <f>IFERROR(__xludf.DUMMYFUNCTION("""COMPUTED_VALUE"""),"Bơi")</f>
        <v/>
      </c>
      <c r="I82" s="18">
        <f>IFERROR(__xludf.DUMMYFUNCTION("""COMPUTED_VALUE"""),"8 buổi/1tháng")</f>
        <v/>
      </c>
      <c r="J82" s="18">
        <f>IFERROR(__xludf.DUMMYFUNCTION("""COMPUTED_VALUE"""),"8 buổi")</f>
        <v/>
      </c>
      <c r="K82" s="48">
        <f>IFERROR(__xludf.DUMMYFUNCTION("""COMPUTED_VALUE"""),4000000)</f>
        <v/>
      </c>
      <c r="L82" s="46" t="n"/>
      <c r="M82" s="2">
        <f>IFERROR(__xludf.DUMMYFUNCTION("""COMPUTED_VALUE"""),"Ngưng SD")</f>
        <v/>
      </c>
      <c r="N82" s="22" t="n"/>
      <c r="O82" s="22" t="n"/>
      <c r="P82" s="22" t="n"/>
      <c r="Q82" s="22" t="n"/>
      <c r="R82" s="22" t="n"/>
    </row>
    <row r="83">
      <c r="A83" s="7">
        <f>IFERROR(__xludf.DUMMYFUNCTION("""COMPUTED_VALUE"""),80)</f>
        <v/>
      </c>
      <c r="B83" s="8">
        <f>IFERROR(__xludf.DUMMYFUNCTION("""COMPUTED_VALUE"""),"Unity")</f>
        <v/>
      </c>
      <c r="C83" s="51">
        <f>IFERROR(__xludf.DUMMYFUNCTION("""COMPUTED_VALUE"""),"Bơi sải")</f>
        <v/>
      </c>
      <c r="D83" s="15" t="n"/>
      <c r="E83" s="15">
        <f>IFERROR(__xludf.DUMMYFUNCTION("""COMPUTED_VALUE"""),"BS8B1T")</f>
        <v/>
      </c>
      <c r="F83" s="2">
        <f>IFERROR(__xludf.DUMMYFUNCTION("""COMPUTED_VALUE"""),"xx")</f>
        <v/>
      </c>
      <c r="G83" s="15">
        <f>IFERROR(__xludf.DUMMYFUNCTION("""COMPUTED_VALUE"""),"Bơi")</f>
        <v/>
      </c>
      <c r="H83" s="15">
        <f>IFERROR(__xludf.DUMMYFUNCTION("""COMPUTED_VALUE"""),"Bơi")</f>
        <v/>
      </c>
      <c r="I83" s="16">
        <f>IFERROR(__xludf.DUMMYFUNCTION("""COMPUTED_VALUE"""),"8 buổi/1tháng")</f>
        <v/>
      </c>
      <c r="J83" s="16">
        <f>IFERROR(__xludf.DUMMYFUNCTION("""COMPUTED_VALUE"""),"8 buổi")</f>
        <v/>
      </c>
      <c r="K83" s="43">
        <f>IFERROR(__xludf.DUMMYFUNCTION("""COMPUTED_VALUE"""),5600000)</f>
        <v/>
      </c>
      <c r="L83" s="46" t="n"/>
      <c r="M83" s="2">
        <f>IFERROR(__xludf.DUMMYFUNCTION("""COMPUTED_VALUE"""),"Ngưng SD")</f>
        <v/>
      </c>
      <c r="N83" s="22" t="n"/>
      <c r="O83" s="22" t="n"/>
      <c r="P83" s="22" t="n"/>
      <c r="Q83" s="22" t="n"/>
      <c r="R83" s="22" t="n"/>
    </row>
    <row r="84">
      <c r="A84" s="7">
        <f>IFERROR(__xludf.DUMMYFUNCTION("""COMPUTED_VALUE"""),81)</f>
        <v/>
      </c>
      <c r="B84" s="8">
        <f>IFERROR(__xludf.DUMMYFUNCTION("""COMPUTED_VALUE"""),"Unity")</f>
        <v/>
      </c>
      <c r="C84" s="52" t="n"/>
      <c r="D84" s="15" t="n"/>
      <c r="E84" s="15">
        <f>IFERROR(__xludf.DUMMYFUNCTION("""COMPUTED_VALUE"""),"BB8B1T")</f>
        <v/>
      </c>
      <c r="F84" s="15">
        <f>IFERROR(__xludf.DUMMYFUNCTION("""COMPUTED_VALUE"""),"xx")</f>
        <v/>
      </c>
      <c r="G84" s="15">
        <f>IFERROR(__xludf.DUMMYFUNCTION("""COMPUTED_VALUE"""),"Bơi")</f>
        <v/>
      </c>
      <c r="H84" s="15">
        <f>IFERROR(__xludf.DUMMYFUNCTION("""COMPUTED_VALUE"""),"Bơi")</f>
        <v/>
      </c>
      <c r="I84" s="16">
        <f>IFERROR(__xludf.DUMMYFUNCTION("""COMPUTED_VALUE"""),"8 buổi/1tháng")</f>
        <v/>
      </c>
      <c r="J84" s="16">
        <f>IFERROR(__xludf.DUMMYFUNCTION("""COMPUTED_VALUE"""),"8 buổi")</f>
        <v/>
      </c>
      <c r="K84" s="43">
        <f>IFERROR(__xludf.DUMMYFUNCTION("""COMPUTED_VALUE"""),7300000)</f>
        <v/>
      </c>
      <c r="L84" s="46" t="n"/>
      <c r="M84" s="2">
        <f>IFERROR(__xludf.DUMMYFUNCTION("""COMPUTED_VALUE"""),"Ngưng SD")</f>
        <v/>
      </c>
      <c r="N84" s="22" t="n"/>
      <c r="O84" s="22" t="n"/>
      <c r="P84" s="22" t="n"/>
      <c r="Q84" s="22" t="n"/>
      <c r="R84" s="22" t="n"/>
    </row>
    <row r="85">
      <c r="A85" s="7">
        <f>IFERROR(__xludf.DUMMYFUNCTION("""COMPUTED_VALUE"""),82)</f>
        <v/>
      </c>
      <c r="B85" s="8">
        <f>IFERROR(__xludf.DUMMYFUNCTION("""COMPUTED_VALUE"""),"Unity")</f>
        <v/>
      </c>
      <c r="C85" s="53" t="n"/>
      <c r="D85" s="15">
        <f>IFERROR(__xludf.DUMMYFUNCTION("""COMPUTED_VALUE"""),"PTSE(1-47).")</f>
        <v/>
      </c>
      <c r="E85" s="15">
        <f>IFERROR(__xludf.DUMMYFUNCTION("""COMPUTED_VALUE"""),"PTSE(1-47).")</f>
        <v/>
      </c>
      <c r="F85" s="15">
        <f>IFERROR(__xludf.DUMMYFUNCTION("""COMPUTED_VALUE"""),"xx")</f>
        <v/>
      </c>
      <c r="G85" s="15">
        <f>IFERROR(__xludf.DUMMYFUNCTION("""COMPUTED_VALUE"""),"PT")</f>
        <v/>
      </c>
      <c r="H85" s="15">
        <f>IFERROR(__xludf.DUMMYFUNCTION("""COMPUTED_VALUE"""),"PT")</f>
        <v/>
      </c>
      <c r="I85" s="16">
        <f>IFERROR(__xludf.DUMMYFUNCTION("""COMPUTED_VALUE"""),"Buổi tập")</f>
        <v/>
      </c>
      <c r="J85" s="16">
        <f>IFERROR(__xludf.DUMMYFUNCTION("""COMPUTED_VALUE"""),"1 kèm 1")</f>
        <v/>
      </c>
      <c r="K85" s="43">
        <f>IFERROR(__xludf.DUMMYFUNCTION("""COMPUTED_VALUE"""),950000)</f>
        <v/>
      </c>
      <c r="L85" s="46" t="n"/>
      <c r="M85" s="2">
        <f>IFERROR(__xludf.DUMMYFUNCTION("""COMPUTED_VALUE"""),"")</f>
        <v/>
      </c>
      <c r="N85" s="22" t="n"/>
      <c r="O85" s="22" t="n"/>
      <c r="P85" s="22" t="n"/>
      <c r="Q85" s="22" t="n"/>
      <c r="R85" s="22" t="n"/>
    </row>
    <row r="86">
      <c r="A86" s="7">
        <f>IFERROR(__xludf.DUMMYFUNCTION("""COMPUTED_VALUE"""),83)</f>
        <v/>
      </c>
      <c r="B86" s="8">
        <f>IFERROR(__xludf.DUMMYFUNCTION("""COMPUTED_VALUE"""),"Unity")</f>
        <v/>
      </c>
      <c r="C86" s="51" t="n"/>
      <c r="D86" s="15">
        <f>IFERROR(__xludf.DUMMYFUNCTION("""COMPUTED_VALUE"""),"PTSE(48-71).")</f>
        <v/>
      </c>
      <c r="E86" s="15">
        <f>IFERROR(__xludf.DUMMYFUNCTION("""COMPUTED_VALUE"""),"PTSE(48-71).")</f>
        <v/>
      </c>
      <c r="F86" s="15">
        <f>IFERROR(__xludf.DUMMYFUNCTION("""COMPUTED_VALUE"""),"xx")</f>
        <v/>
      </c>
      <c r="G86" s="15">
        <f>IFERROR(__xludf.DUMMYFUNCTION("""COMPUTED_VALUE"""),"PT")</f>
        <v/>
      </c>
      <c r="H86" s="15">
        <f>IFERROR(__xludf.DUMMYFUNCTION("""COMPUTED_VALUE"""),"PT")</f>
        <v/>
      </c>
      <c r="I86" s="16">
        <f>IFERROR(__xludf.DUMMYFUNCTION("""COMPUTED_VALUE"""),"Buổi tập")</f>
        <v/>
      </c>
      <c r="J86" s="16">
        <f>IFERROR(__xludf.DUMMYFUNCTION("""COMPUTED_VALUE"""),"1 kèm 1")</f>
        <v/>
      </c>
      <c r="K86" s="43">
        <f>IFERROR(__xludf.DUMMYFUNCTION("""COMPUTED_VALUE"""),900000)</f>
        <v/>
      </c>
      <c r="L86" s="46" t="n"/>
      <c r="M86" s="2">
        <f>IFERROR(__xludf.DUMMYFUNCTION("""COMPUTED_VALUE"""),"")</f>
        <v/>
      </c>
      <c r="N86" s="22" t="n"/>
      <c r="O86" s="22" t="n"/>
      <c r="P86" s="22" t="n"/>
      <c r="Q86" s="22" t="n"/>
      <c r="R86" s="22" t="n"/>
    </row>
    <row r="87">
      <c r="A87" s="7">
        <f>IFERROR(__xludf.DUMMYFUNCTION("""COMPUTED_VALUE"""),84)</f>
        <v/>
      </c>
      <c r="B87" s="8">
        <f>IFERROR(__xludf.DUMMYFUNCTION("""COMPUTED_VALUE"""),"Unity")</f>
        <v/>
      </c>
      <c r="C87" s="52" t="n"/>
      <c r="D87" s="15">
        <f>IFERROR(__xludf.DUMMYFUNCTION("""COMPUTED_VALUE"""),"PTSE(từ 72).")</f>
        <v/>
      </c>
      <c r="E87" s="15">
        <f>IFERROR(__xludf.DUMMYFUNCTION("""COMPUTED_VALUE"""),"PTSE(từ 72).")</f>
        <v/>
      </c>
      <c r="F87" s="15">
        <f>IFERROR(__xludf.DUMMYFUNCTION("""COMPUTED_VALUE"""),"xx")</f>
        <v/>
      </c>
      <c r="G87" s="15">
        <f>IFERROR(__xludf.DUMMYFUNCTION("""COMPUTED_VALUE"""),"PT")</f>
        <v/>
      </c>
      <c r="H87" s="15">
        <f>IFERROR(__xludf.DUMMYFUNCTION("""COMPUTED_VALUE"""),"PT")</f>
        <v/>
      </c>
      <c r="I87" s="16">
        <f>IFERROR(__xludf.DUMMYFUNCTION("""COMPUTED_VALUE"""),"Buổi tập")</f>
        <v/>
      </c>
      <c r="J87" s="16">
        <f>IFERROR(__xludf.DUMMYFUNCTION("""COMPUTED_VALUE"""),"1 kèm 1")</f>
        <v/>
      </c>
      <c r="K87" s="43">
        <f>IFERROR(__xludf.DUMMYFUNCTION("""COMPUTED_VALUE"""),800000)</f>
        <v/>
      </c>
      <c r="L87" s="46" t="n"/>
      <c r="M87" s="2">
        <f>IFERROR(__xludf.DUMMYFUNCTION("""COMPUTED_VALUE"""),"")</f>
        <v/>
      </c>
      <c r="N87" s="22" t="n"/>
      <c r="O87" s="22" t="n"/>
      <c r="P87" s="22" t="n"/>
      <c r="Q87" s="22" t="n"/>
      <c r="R87" s="22" t="n"/>
    </row>
    <row r="88">
      <c r="A88" s="7">
        <f>IFERROR(__xludf.DUMMYFUNCTION("""COMPUTED_VALUE"""),85)</f>
        <v/>
      </c>
      <c r="B88" s="8">
        <f>IFERROR(__xludf.DUMMYFUNCTION("""COMPUTED_VALUE"""),"Unity")</f>
        <v/>
      </c>
      <c r="C88" s="53" t="n"/>
      <c r="D88" s="15">
        <f>IFERROR(__xludf.DUMMYFUNCTION("""COMPUTED_VALUE"""),"PTLE(1-47).")</f>
        <v/>
      </c>
      <c r="E88" s="15">
        <f>IFERROR(__xludf.DUMMYFUNCTION("""COMPUTED_VALUE"""),"PTLE(1-47).")</f>
        <v/>
      </c>
      <c r="F88" s="15">
        <f>IFERROR(__xludf.DUMMYFUNCTION("""COMPUTED_VALUE"""),"xx")</f>
        <v/>
      </c>
      <c r="G88" s="15">
        <f>IFERROR(__xludf.DUMMYFUNCTION("""COMPUTED_VALUE"""),"PT")</f>
        <v/>
      </c>
      <c r="H88" s="15">
        <f>IFERROR(__xludf.DUMMYFUNCTION("""COMPUTED_VALUE"""),"PT")</f>
        <v/>
      </c>
      <c r="I88" s="16">
        <f>IFERROR(__xludf.DUMMYFUNCTION("""COMPUTED_VALUE"""),"Buổi tập")</f>
        <v/>
      </c>
      <c r="J88" s="16">
        <f>IFERROR(__xludf.DUMMYFUNCTION("""COMPUTED_VALUE"""),"1 kèm 1")</f>
        <v/>
      </c>
      <c r="K88" s="43">
        <f>IFERROR(__xludf.DUMMYFUNCTION("""COMPUTED_VALUE"""),1045000)</f>
        <v/>
      </c>
      <c r="L88" s="46" t="n"/>
      <c r="M88" s="2">
        <f>IFERROR(__xludf.DUMMYFUNCTION("""COMPUTED_VALUE"""),"")</f>
        <v/>
      </c>
      <c r="N88" s="22" t="n"/>
      <c r="O88" s="22" t="n"/>
      <c r="P88" s="22" t="n"/>
      <c r="Q88" s="22" t="n"/>
      <c r="R88" s="22" t="n"/>
    </row>
    <row r="89">
      <c r="A89" s="7">
        <f>IFERROR(__xludf.DUMMYFUNCTION("""COMPUTED_VALUE"""),86)</f>
        <v/>
      </c>
      <c r="B89" s="8">
        <f>IFERROR(__xludf.DUMMYFUNCTION("""COMPUTED_VALUE"""),"Unity")</f>
        <v/>
      </c>
      <c r="C89" s="51" t="n"/>
      <c r="D89" s="15">
        <f>IFERROR(__xludf.DUMMYFUNCTION("""COMPUTED_VALUE"""),"PTLE(48-71).")</f>
        <v/>
      </c>
      <c r="E89" s="15">
        <f>IFERROR(__xludf.DUMMYFUNCTION("""COMPUTED_VALUE"""),"PTLE(48-71).")</f>
        <v/>
      </c>
      <c r="F89" s="15">
        <f>IFERROR(__xludf.DUMMYFUNCTION("""COMPUTED_VALUE"""),"xx")</f>
        <v/>
      </c>
      <c r="G89" s="15">
        <f>IFERROR(__xludf.DUMMYFUNCTION("""COMPUTED_VALUE"""),"PT")</f>
        <v/>
      </c>
      <c r="H89" s="15">
        <f>IFERROR(__xludf.DUMMYFUNCTION("""COMPUTED_VALUE"""),"PT")</f>
        <v/>
      </c>
      <c r="I89" s="16">
        <f>IFERROR(__xludf.DUMMYFUNCTION("""COMPUTED_VALUE"""),"Buổi tập")</f>
        <v/>
      </c>
      <c r="J89" s="16">
        <f>IFERROR(__xludf.DUMMYFUNCTION("""COMPUTED_VALUE"""),"1 kèm 1")</f>
        <v/>
      </c>
      <c r="K89" s="43">
        <f>IFERROR(__xludf.DUMMYFUNCTION("""COMPUTED_VALUE"""),990000)</f>
        <v/>
      </c>
      <c r="L89" s="46" t="n"/>
      <c r="M89" s="2">
        <f>IFERROR(__xludf.DUMMYFUNCTION("""COMPUTED_VALUE"""),"")</f>
        <v/>
      </c>
      <c r="N89" s="22" t="n"/>
      <c r="O89" s="22" t="n"/>
      <c r="P89" s="22" t="n"/>
      <c r="Q89" s="22" t="n"/>
      <c r="R89" s="22" t="n"/>
    </row>
    <row r="90">
      <c r="A90" s="7">
        <f>IFERROR(__xludf.DUMMYFUNCTION("""COMPUTED_VALUE"""),87)</f>
        <v/>
      </c>
      <c r="B90" s="8">
        <f>IFERROR(__xludf.DUMMYFUNCTION("""COMPUTED_VALUE"""),"Unity")</f>
        <v/>
      </c>
      <c r="C90" s="52" t="n"/>
      <c r="D90" s="15">
        <f>IFERROR(__xludf.DUMMYFUNCTION("""COMPUTED_VALUE"""),"PTLE(từ 72).")</f>
        <v/>
      </c>
      <c r="E90" s="15">
        <f>IFERROR(__xludf.DUMMYFUNCTION("""COMPUTED_VALUE"""),"PTLE(từ 72).")</f>
        <v/>
      </c>
      <c r="F90" s="15">
        <f>IFERROR(__xludf.DUMMYFUNCTION("""COMPUTED_VALUE"""),"xx")</f>
        <v/>
      </c>
      <c r="G90" s="15">
        <f>IFERROR(__xludf.DUMMYFUNCTION("""COMPUTED_VALUE"""),"PT")</f>
        <v/>
      </c>
      <c r="H90" s="15">
        <f>IFERROR(__xludf.DUMMYFUNCTION("""COMPUTED_VALUE"""),"PT")</f>
        <v/>
      </c>
      <c r="I90" s="16">
        <f>IFERROR(__xludf.DUMMYFUNCTION("""COMPUTED_VALUE"""),"Buổi tập")</f>
        <v/>
      </c>
      <c r="J90" s="16">
        <f>IFERROR(__xludf.DUMMYFUNCTION("""COMPUTED_VALUE"""),"1 kèm 1")</f>
        <v/>
      </c>
      <c r="K90" s="43">
        <f>IFERROR(__xludf.DUMMYFUNCTION("""COMPUTED_VALUE"""),880000)</f>
        <v/>
      </c>
      <c r="L90" s="46" t="n"/>
      <c r="M90" s="2">
        <f>IFERROR(__xludf.DUMMYFUNCTION("""COMPUTED_VALUE"""),"")</f>
        <v/>
      </c>
      <c r="N90" s="22" t="n"/>
      <c r="O90" s="22" t="n"/>
      <c r="P90" s="22" t="n"/>
      <c r="Q90" s="22" t="n"/>
      <c r="R90" s="22" t="n"/>
    </row>
    <row r="91">
      <c r="A91" s="7">
        <f>IFERROR(__xludf.DUMMYFUNCTION("""COMPUTED_VALUE"""),88)</f>
        <v/>
      </c>
      <c r="B91" s="8">
        <f>IFERROR(__xludf.DUMMYFUNCTION("""COMPUTED_VALUE"""),"Unity")</f>
        <v/>
      </c>
      <c r="C91" s="53" t="n"/>
      <c r="D91" s="15">
        <f>IFERROR(__xludf.DUMMYFUNCTION("""COMPUTED_VALUE"""),"PTSEMBS(1-47).")</f>
        <v/>
      </c>
      <c r="E91" s="15">
        <f>IFERROR(__xludf.DUMMYFUNCTION("""COMPUTED_VALUE"""),"PTSEMBS(1-47).")</f>
        <v/>
      </c>
      <c r="F91" s="15">
        <f>IFERROR(__xludf.DUMMYFUNCTION("""COMPUTED_VALUE"""),"xx")</f>
        <v/>
      </c>
      <c r="G91" s="15">
        <f>IFERROR(__xludf.DUMMYFUNCTION("""COMPUTED_VALUE"""),"PT")</f>
        <v/>
      </c>
      <c r="H91" s="15">
        <f>IFERROR(__xludf.DUMMYFUNCTION("""COMPUTED_VALUE"""),"PT")</f>
        <v/>
      </c>
      <c r="I91" s="16">
        <f>IFERROR(__xludf.DUMMYFUNCTION("""COMPUTED_VALUE"""),"Buổi tập")</f>
        <v/>
      </c>
      <c r="J91" s="16">
        <f>IFERROR(__xludf.DUMMYFUNCTION("""COMPUTED_VALUE"""),"1 kèm 1")</f>
        <v/>
      </c>
      <c r="K91" s="43">
        <f>IFERROR(__xludf.DUMMYFUNCTION("""COMPUTED_VALUE"""),950000)</f>
        <v/>
      </c>
      <c r="L91" s="46" t="n"/>
      <c r="M91" s="2">
        <f>IFERROR(__xludf.DUMMYFUNCTION("""COMPUTED_VALUE"""),"")</f>
        <v/>
      </c>
      <c r="N91" s="22" t="n"/>
      <c r="O91" s="22" t="n"/>
      <c r="P91" s="22" t="n"/>
      <c r="Q91" s="22" t="n"/>
      <c r="R91" s="22" t="n"/>
    </row>
    <row r="92">
      <c r="A92" s="7">
        <f>IFERROR(__xludf.DUMMYFUNCTION("""COMPUTED_VALUE"""),89)</f>
        <v/>
      </c>
      <c r="B92" s="8">
        <f>IFERROR(__xludf.DUMMYFUNCTION("""COMPUTED_VALUE"""),"Unity")</f>
        <v/>
      </c>
      <c r="C92" s="51" t="n"/>
      <c r="D92" s="15">
        <f>IFERROR(__xludf.DUMMYFUNCTION("""COMPUTED_VALUE"""),"PTSEMBS(48-71).")</f>
        <v/>
      </c>
      <c r="E92" s="15">
        <f>IFERROR(__xludf.DUMMYFUNCTION("""COMPUTED_VALUE"""),"PTSEMBS(48-71).")</f>
        <v/>
      </c>
      <c r="F92" s="15">
        <f>IFERROR(__xludf.DUMMYFUNCTION("""COMPUTED_VALUE"""),"xx")</f>
        <v/>
      </c>
      <c r="G92" s="15">
        <f>IFERROR(__xludf.DUMMYFUNCTION("""COMPUTED_VALUE"""),"PT")</f>
        <v/>
      </c>
      <c r="H92" s="15">
        <f>IFERROR(__xludf.DUMMYFUNCTION("""COMPUTED_VALUE"""),"PT")</f>
        <v/>
      </c>
      <c r="I92" s="16">
        <f>IFERROR(__xludf.DUMMYFUNCTION("""COMPUTED_VALUE"""),"Buổi tập")</f>
        <v/>
      </c>
      <c r="J92" s="16">
        <f>IFERROR(__xludf.DUMMYFUNCTION("""COMPUTED_VALUE"""),"1 kèm 1")</f>
        <v/>
      </c>
      <c r="K92" s="43">
        <f>IFERROR(__xludf.DUMMYFUNCTION("""COMPUTED_VALUE"""),900000)</f>
        <v/>
      </c>
      <c r="L92" s="46" t="n"/>
      <c r="M92" s="2">
        <f>IFERROR(__xludf.DUMMYFUNCTION("""COMPUTED_VALUE"""),"")</f>
        <v/>
      </c>
      <c r="N92" s="22" t="n"/>
      <c r="O92" s="22" t="n"/>
      <c r="P92" s="22" t="n"/>
      <c r="Q92" s="22" t="n"/>
      <c r="R92" s="22" t="n"/>
    </row>
    <row r="93">
      <c r="A93" s="7">
        <f>IFERROR(__xludf.DUMMYFUNCTION("""COMPUTED_VALUE"""),90)</f>
        <v/>
      </c>
      <c r="B93" s="8">
        <f>IFERROR(__xludf.DUMMYFUNCTION("""COMPUTED_VALUE"""),"Unity")</f>
        <v/>
      </c>
      <c r="C93" s="52" t="n"/>
      <c r="D93" s="15">
        <f>IFERROR(__xludf.DUMMYFUNCTION("""COMPUTED_VALUE"""),"PTSEMBS(từ 72).")</f>
        <v/>
      </c>
      <c r="E93" s="15">
        <f>IFERROR(__xludf.DUMMYFUNCTION("""COMPUTED_VALUE"""),"PTSEMBS(từ 72).")</f>
        <v/>
      </c>
      <c r="F93" s="15">
        <f>IFERROR(__xludf.DUMMYFUNCTION("""COMPUTED_VALUE"""),"xx")</f>
        <v/>
      </c>
      <c r="G93" s="15">
        <f>IFERROR(__xludf.DUMMYFUNCTION("""COMPUTED_VALUE"""),"PT")</f>
        <v/>
      </c>
      <c r="H93" s="15">
        <f>IFERROR(__xludf.DUMMYFUNCTION("""COMPUTED_VALUE"""),"PT")</f>
        <v/>
      </c>
      <c r="I93" s="16">
        <f>IFERROR(__xludf.DUMMYFUNCTION("""COMPUTED_VALUE"""),"Buổi tập")</f>
        <v/>
      </c>
      <c r="J93" s="16">
        <f>IFERROR(__xludf.DUMMYFUNCTION("""COMPUTED_VALUE"""),"1 kèm 1")</f>
        <v/>
      </c>
      <c r="K93" s="43">
        <f>IFERROR(__xludf.DUMMYFUNCTION("""COMPUTED_VALUE"""),800000)</f>
        <v/>
      </c>
      <c r="L93" s="46" t="n"/>
      <c r="M93" s="2">
        <f>IFERROR(__xludf.DUMMYFUNCTION("""COMPUTED_VALUE"""),"")</f>
        <v/>
      </c>
      <c r="N93" s="22" t="n"/>
      <c r="O93" s="22" t="n"/>
      <c r="P93" s="22" t="n"/>
      <c r="Q93" s="22" t="n"/>
      <c r="R93" s="22" t="n"/>
    </row>
    <row r="94">
      <c r="A94" s="7">
        <f>IFERROR(__xludf.DUMMYFUNCTION("""COMPUTED_VALUE"""),91)</f>
        <v/>
      </c>
      <c r="B94" s="8">
        <f>IFERROR(__xludf.DUMMYFUNCTION("""COMPUTED_VALUE"""),"Unity")</f>
        <v/>
      </c>
      <c r="C94" s="53" t="n"/>
      <c r="D94" s="15">
        <f>IFERROR(__xludf.DUMMYFUNCTION("""COMPUTED_VALUE"""),"PTLEMBS(1-47).")</f>
        <v/>
      </c>
      <c r="E94" s="15">
        <f>IFERROR(__xludf.DUMMYFUNCTION("""COMPUTED_VALUE"""),"PTLEMBS(1-47).")</f>
        <v/>
      </c>
      <c r="F94" s="15">
        <f>IFERROR(__xludf.DUMMYFUNCTION("""COMPUTED_VALUE"""),"xx")</f>
        <v/>
      </c>
      <c r="G94" s="15">
        <f>IFERROR(__xludf.DUMMYFUNCTION("""COMPUTED_VALUE"""),"PT")</f>
        <v/>
      </c>
      <c r="H94" s="15">
        <f>IFERROR(__xludf.DUMMYFUNCTION("""COMPUTED_VALUE"""),"PT")</f>
        <v/>
      </c>
      <c r="I94" s="16">
        <f>IFERROR(__xludf.DUMMYFUNCTION("""COMPUTED_VALUE"""),"Buổi tập")</f>
        <v/>
      </c>
      <c r="J94" s="16">
        <f>IFERROR(__xludf.DUMMYFUNCTION("""COMPUTED_VALUE"""),"1 kèm 1")</f>
        <v/>
      </c>
      <c r="K94" s="43">
        <f>IFERROR(__xludf.DUMMYFUNCTION("""COMPUTED_VALUE"""),1045000)</f>
        <v/>
      </c>
      <c r="L94" s="46" t="n"/>
      <c r="M94" s="2">
        <f>IFERROR(__xludf.DUMMYFUNCTION("""COMPUTED_VALUE"""),"")</f>
        <v/>
      </c>
      <c r="N94" s="22" t="n"/>
      <c r="O94" s="22" t="n"/>
      <c r="P94" s="22" t="n"/>
      <c r="Q94" s="22" t="n"/>
      <c r="R94" s="22" t="n"/>
    </row>
    <row r="95">
      <c r="A95" s="7">
        <f>IFERROR(__xludf.DUMMYFUNCTION("""COMPUTED_VALUE"""),92)</f>
        <v/>
      </c>
      <c r="B95" s="23">
        <f>IFERROR(__xludf.DUMMYFUNCTION("""COMPUTED_VALUE"""),"Unity")</f>
        <v/>
      </c>
      <c r="C95" s="24" t="n"/>
      <c r="D95" s="25">
        <f>IFERROR(__xludf.DUMMYFUNCTION("""COMPUTED_VALUE"""),"PTLEMBS(48-71).")</f>
        <v/>
      </c>
      <c r="E95" s="25">
        <f>IFERROR(__xludf.DUMMYFUNCTION("""COMPUTED_VALUE"""),"PTLEMBS(48-71).")</f>
        <v/>
      </c>
      <c r="F95" s="15">
        <f>IFERROR(__xludf.DUMMYFUNCTION("""COMPUTED_VALUE"""),"xx")</f>
        <v/>
      </c>
      <c r="G95" s="15">
        <f>IFERROR(__xludf.DUMMYFUNCTION("""COMPUTED_VALUE"""),"PT")</f>
        <v/>
      </c>
      <c r="H95" s="15">
        <f>IFERROR(__xludf.DUMMYFUNCTION("""COMPUTED_VALUE"""),"PT")</f>
        <v/>
      </c>
      <c r="I95" s="16">
        <f>IFERROR(__xludf.DUMMYFUNCTION("""COMPUTED_VALUE"""),"Buổi tập")</f>
        <v/>
      </c>
      <c r="J95" s="16">
        <f>IFERROR(__xludf.DUMMYFUNCTION("""COMPUTED_VALUE"""),"1 kèm 1")</f>
        <v/>
      </c>
      <c r="K95" s="43">
        <f>IFERROR(__xludf.DUMMYFUNCTION("""COMPUTED_VALUE"""),990000)</f>
        <v/>
      </c>
      <c r="L95" s="46" t="n"/>
      <c r="M95" s="2">
        <f>IFERROR(__xludf.DUMMYFUNCTION("""COMPUTED_VALUE"""),"")</f>
        <v/>
      </c>
      <c r="N95" s="22" t="n"/>
      <c r="O95" s="22" t="n"/>
      <c r="P95" s="22" t="n"/>
      <c r="Q95" s="22" t="n"/>
      <c r="R95" s="22" t="n"/>
    </row>
    <row r="96">
      <c r="A96" s="7">
        <f>IFERROR(__xludf.DUMMYFUNCTION("""COMPUTED_VALUE"""),93)</f>
        <v/>
      </c>
      <c r="B96" s="8">
        <f>IFERROR(__xludf.DUMMYFUNCTION("""COMPUTED_VALUE"""),"Unity")</f>
        <v/>
      </c>
      <c r="C96" s="51" t="n"/>
      <c r="D96" s="14">
        <f>IFERROR(__xludf.DUMMYFUNCTION("""COMPUTED_VALUE"""),"PTLEMBS(từ 72).")</f>
        <v/>
      </c>
      <c r="E96" s="14">
        <f>IFERROR(__xludf.DUMMYFUNCTION("""COMPUTED_VALUE"""),"PTLEMBS(từ 72).")</f>
        <v/>
      </c>
      <c r="F96" s="15">
        <f>IFERROR(__xludf.DUMMYFUNCTION("""COMPUTED_VALUE"""),"xx")</f>
        <v/>
      </c>
      <c r="G96" s="15">
        <f>IFERROR(__xludf.DUMMYFUNCTION("""COMPUTED_VALUE"""),"PT")</f>
        <v/>
      </c>
      <c r="H96" s="15">
        <f>IFERROR(__xludf.DUMMYFUNCTION("""COMPUTED_VALUE"""),"PT")</f>
        <v/>
      </c>
      <c r="I96" s="16">
        <f>IFERROR(__xludf.DUMMYFUNCTION("""COMPUTED_VALUE"""),"Buổi tập")</f>
        <v/>
      </c>
      <c r="J96" s="16">
        <f>IFERROR(__xludf.DUMMYFUNCTION("""COMPUTED_VALUE"""),"1 kèm 1")</f>
        <v/>
      </c>
      <c r="K96" s="46">
        <f>IFERROR(__xludf.DUMMYFUNCTION("""COMPUTED_VALUE"""),880000)</f>
        <v/>
      </c>
      <c r="L96" s="46" t="n"/>
      <c r="M96" s="2">
        <f>IFERROR(__xludf.DUMMYFUNCTION("""COMPUTED_VALUE"""),"")</f>
        <v/>
      </c>
      <c r="N96" s="22" t="n"/>
      <c r="O96" s="22" t="n"/>
      <c r="P96" s="22" t="n"/>
      <c r="Q96" s="22" t="n"/>
      <c r="R96" s="22" t="n"/>
    </row>
    <row r="97">
      <c r="A97" s="7">
        <f>IFERROR(__xludf.DUMMYFUNCTION("""COMPUTED_VALUE"""),94)</f>
        <v/>
      </c>
      <c r="B97" s="8">
        <f>IFERROR(__xludf.DUMMYFUNCTION("""COMPUTED_VALUE"""),"Unity")</f>
        <v/>
      </c>
      <c r="C97" s="51">
        <f>IFERROR(__xludf.DUMMYFUNCTION("""COMPUTED_VALUE"""),"Bảng giá GYM, BOXING")</f>
        <v/>
      </c>
      <c r="D97" s="14" t="n"/>
      <c r="E97" s="14">
        <f>IFERROR(__xludf.DUMMYFUNCTION("""COMPUTED_VALUE"""),"PTGB1:1:12")</f>
        <v/>
      </c>
      <c r="F97" s="15">
        <f>IFERROR(__xludf.DUMMYFUNCTION("""COMPUTED_VALUE"""),"xx")</f>
        <v/>
      </c>
      <c r="G97" s="15">
        <f>IFERROR(__xludf.DUMMYFUNCTION("""COMPUTED_VALUE"""),"PT")</f>
        <v/>
      </c>
      <c r="H97" s="15">
        <f>IFERROR(__xludf.DUMMYFUNCTION("""COMPUTED_VALUE"""),"PT")</f>
        <v/>
      </c>
      <c r="I97" s="16">
        <f>IFERROR(__xludf.DUMMYFUNCTION("""COMPUTED_VALUE"""),"2 tháng/Buổi tập")</f>
        <v/>
      </c>
      <c r="J97" s="16">
        <f>IFERROR(__xludf.DUMMYFUNCTION("""COMPUTED_VALUE"""),"1 kèm 1")</f>
        <v/>
      </c>
      <c r="K97" s="46">
        <f>IFERROR(__xludf.DUMMYFUNCTION("""COMPUTED_VALUE"""),8400000)</f>
        <v/>
      </c>
      <c r="L97" s="46" t="n"/>
      <c r="M97" s="2">
        <f>IFERROR(__xludf.DUMMYFUNCTION("""COMPUTED_VALUE"""),"Ngưng SD")</f>
        <v/>
      </c>
      <c r="N97" s="22" t="n"/>
      <c r="O97" s="22" t="n"/>
      <c r="P97" s="22" t="n"/>
      <c r="Q97" s="22" t="n"/>
      <c r="R97" s="22" t="n"/>
    </row>
    <row r="98">
      <c r="A98" s="7">
        <f>IFERROR(__xludf.DUMMYFUNCTION("""COMPUTED_VALUE"""),95)</f>
        <v/>
      </c>
      <c r="B98" s="8">
        <f>IFERROR(__xludf.DUMMYFUNCTION("""COMPUTED_VALUE"""),"Unity")</f>
        <v/>
      </c>
      <c r="C98" s="51" t="n"/>
      <c r="D98" s="15" t="n"/>
      <c r="E98" s="15">
        <f>IFERROR(__xludf.DUMMYFUNCTION("""COMPUTED_VALUE"""),"PTGB1:1:24")</f>
        <v/>
      </c>
      <c r="F98" s="15">
        <f>IFERROR(__xludf.DUMMYFUNCTION("""COMPUTED_VALUE"""),"xx")</f>
        <v/>
      </c>
      <c r="G98" s="15">
        <f>IFERROR(__xludf.DUMMYFUNCTION("""COMPUTED_VALUE"""),"PT")</f>
        <v/>
      </c>
      <c r="H98" s="15">
        <f>IFERROR(__xludf.DUMMYFUNCTION("""COMPUTED_VALUE"""),"PT")</f>
        <v/>
      </c>
      <c r="I98" s="16">
        <f>IFERROR(__xludf.DUMMYFUNCTION("""COMPUTED_VALUE"""),"4 tháng/Buổi tập")</f>
        <v/>
      </c>
      <c r="J98" s="16">
        <f>IFERROR(__xludf.DUMMYFUNCTION("""COMPUTED_VALUE"""),"1 kèm 1")</f>
        <v/>
      </c>
      <c r="K98" s="46">
        <f>IFERROR(__xludf.DUMMYFUNCTION("""COMPUTED_VALUE"""),15600000)</f>
        <v/>
      </c>
      <c r="L98" s="46" t="n"/>
      <c r="M98" s="2">
        <f>IFERROR(__xludf.DUMMYFUNCTION("""COMPUTED_VALUE"""),"Ngưng SD")</f>
        <v/>
      </c>
      <c r="N98" s="22" t="n"/>
      <c r="O98" s="22" t="n"/>
      <c r="P98" s="22" t="n"/>
      <c r="Q98" s="22" t="n"/>
      <c r="R98" s="22" t="n"/>
    </row>
    <row r="99">
      <c r="A99" s="7">
        <f>IFERROR(__xludf.DUMMYFUNCTION("""COMPUTED_VALUE"""),96)</f>
        <v/>
      </c>
      <c r="B99" s="8">
        <f>IFERROR(__xludf.DUMMYFUNCTION("""COMPUTED_VALUE"""),"Unity")</f>
        <v/>
      </c>
      <c r="C99" s="51" t="n"/>
      <c r="D99" s="15" t="n"/>
      <c r="E99" s="15">
        <f>IFERROR(__xludf.DUMMYFUNCTION("""COMPUTED_VALUE"""),"PTGB1:1:36")</f>
        <v/>
      </c>
      <c r="F99" s="15">
        <f>IFERROR(__xludf.DUMMYFUNCTION("""COMPUTED_VALUE"""),"xx")</f>
        <v/>
      </c>
      <c r="G99" s="15">
        <f>IFERROR(__xludf.DUMMYFUNCTION("""COMPUTED_VALUE"""),"PT")</f>
        <v/>
      </c>
      <c r="H99" s="15">
        <f>IFERROR(__xludf.DUMMYFUNCTION("""COMPUTED_VALUE"""),"PT")</f>
        <v/>
      </c>
      <c r="I99" s="16">
        <f>IFERROR(__xludf.DUMMYFUNCTION("""COMPUTED_VALUE"""),"6 tháng/Buổi tập")</f>
        <v/>
      </c>
      <c r="J99" s="16">
        <f>IFERROR(__xludf.DUMMYFUNCTION("""COMPUTED_VALUE"""),"1 kèm 1")</f>
        <v/>
      </c>
      <c r="K99" s="46">
        <f>IFERROR(__xludf.DUMMYFUNCTION("""COMPUTED_VALUE"""),21600000)</f>
        <v/>
      </c>
      <c r="L99" s="46" t="n"/>
      <c r="M99" s="2">
        <f>IFERROR(__xludf.DUMMYFUNCTION("""COMPUTED_VALUE"""),"Ngưng SD")</f>
        <v/>
      </c>
      <c r="N99" s="22" t="n"/>
      <c r="O99" s="22" t="n"/>
      <c r="P99" s="22" t="n"/>
      <c r="Q99" s="22" t="n"/>
      <c r="R99" s="22" t="n"/>
    </row>
    <row r="100">
      <c r="A100" s="7">
        <f>IFERROR(__xludf.DUMMYFUNCTION("""COMPUTED_VALUE"""),97)</f>
        <v/>
      </c>
      <c r="B100" s="8">
        <f>IFERROR(__xludf.DUMMYFUNCTION("""COMPUTED_VALUE"""),"Unity")</f>
        <v/>
      </c>
      <c r="C100" s="51" t="n"/>
      <c r="D100" s="15" t="n"/>
      <c r="E100" s="15">
        <f>IFERROR(__xludf.DUMMYFUNCTION("""COMPUTED_VALUE"""),"PTGB1:1:48")</f>
        <v/>
      </c>
      <c r="F100" s="15">
        <f>IFERROR(__xludf.DUMMYFUNCTION("""COMPUTED_VALUE"""),"xx")</f>
        <v/>
      </c>
      <c r="G100" s="15">
        <f>IFERROR(__xludf.DUMMYFUNCTION("""COMPUTED_VALUE"""),"PT")</f>
        <v/>
      </c>
      <c r="H100" s="15">
        <f>IFERROR(__xludf.DUMMYFUNCTION("""COMPUTED_VALUE"""),"PT")</f>
        <v/>
      </c>
      <c r="I100" s="16">
        <f>IFERROR(__xludf.DUMMYFUNCTION("""COMPUTED_VALUE"""),"8 tháng/Buổi tập")</f>
        <v/>
      </c>
      <c r="J100" s="16">
        <f>IFERROR(__xludf.DUMMYFUNCTION("""COMPUTED_VALUE"""),"1 kèm 1")</f>
        <v/>
      </c>
      <c r="K100" s="46">
        <f>IFERROR(__xludf.DUMMYFUNCTION("""COMPUTED_VALUE"""),26400000)</f>
        <v/>
      </c>
      <c r="L100" s="46" t="n"/>
      <c r="M100" s="2">
        <f>IFERROR(__xludf.DUMMYFUNCTION("""COMPUTED_VALUE"""),"Ngưng SD")</f>
        <v/>
      </c>
      <c r="N100" s="22" t="n"/>
      <c r="O100" s="22" t="n"/>
      <c r="P100" s="22" t="n"/>
      <c r="Q100" s="22" t="n"/>
      <c r="R100" s="22" t="n"/>
    </row>
    <row r="101">
      <c r="A101" s="7">
        <f>IFERROR(__xludf.DUMMYFUNCTION("""COMPUTED_VALUE"""),98)</f>
        <v/>
      </c>
      <c r="B101" s="8">
        <f>IFERROR(__xludf.DUMMYFUNCTION("""COMPUTED_VALUE"""),"Unity")</f>
        <v/>
      </c>
      <c r="C101" s="51" t="n"/>
      <c r="D101" s="15" t="n"/>
      <c r="E101" s="15">
        <f>IFERROR(__xludf.DUMMYFUNCTION("""COMPUTED_VALUE"""),"PTGB1:1:72")</f>
        <v/>
      </c>
      <c r="F101" s="15">
        <f>IFERROR(__xludf.DUMMYFUNCTION("""COMPUTED_VALUE"""),"xx")</f>
        <v/>
      </c>
      <c r="G101" s="15">
        <f>IFERROR(__xludf.DUMMYFUNCTION("""COMPUTED_VALUE"""),"PT")</f>
        <v/>
      </c>
      <c r="H101" s="15">
        <f>IFERROR(__xludf.DUMMYFUNCTION("""COMPUTED_VALUE"""),"PT")</f>
        <v/>
      </c>
      <c r="I101" s="16">
        <f>IFERROR(__xludf.DUMMYFUNCTION("""COMPUTED_VALUE"""),"10 tháng/Buổi tập")</f>
        <v/>
      </c>
      <c r="J101" s="16">
        <f>IFERROR(__xludf.DUMMYFUNCTION("""COMPUTED_VALUE"""),"1 kèm 1")</f>
        <v/>
      </c>
      <c r="K101" s="46">
        <f>IFERROR(__xludf.DUMMYFUNCTION("""COMPUTED_VALUE"""),36000000)</f>
        <v/>
      </c>
      <c r="L101" s="46" t="n"/>
      <c r="M101" s="2">
        <f>IFERROR(__xludf.DUMMYFUNCTION("""COMPUTED_VALUE"""),"Ngưng SD")</f>
        <v/>
      </c>
      <c r="N101" s="22" t="n"/>
      <c r="O101" s="22" t="n"/>
      <c r="P101" s="22" t="n"/>
      <c r="Q101" s="22" t="n"/>
      <c r="R101" s="22" t="n"/>
    </row>
    <row r="102">
      <c r="A102" s="7">
        <f>IFERROR(__xludf.DUMMYFUNCTION("""COMPUTED_VALUE"""),99)</f>
        <v/>
      </c>
      <c r="B102" s="8">
        <f>IFERROR(__xludf.DUMMYFUNCTION("""COMPUTED_VALUE"""),"Unity")</f>
        <v/>
      </c>
      <c r="C102" s="51" t="n"/>
      <c r="D102" s="15" t="n"/>
      <c r="E102" s="15">
        <f>IFERROR(__xludf.DUMMYFUNCTION("""COMPUTED_VALUE"""),"PTGB1:1:144")</f>
        <v/>
      </c>
      <c r="F102" s="15">
        <f>IFERROR(__xludf.DUMMYFUNCTION("""COMPUTED_VALUE"""),"xx")</f>
        <v/>
      </c>
      <c r="G102" s="8">
        <f>IFERROR(__xludf.DUMMYFUNCTION("""COMPUTED_VALUE"""),"PT")</f>
        <v/>
      </c>
      <c r="H102" s="8">
        <f>IFERROR(__xludf.DUMMYFUNCTION("""COMPUTED_VALUE"""),"PT")</f>
        <v/>
      </c>
      <c r="I102" s="16">
        <f>IFERROR(__xludf.DUMMYFUNCTION("""COMPUTED_VALUE"""),"20 tháng/Buổi tập")</f>
        <v/>
      </c>
      <c r="J102" s="9">
        <f>IFERROR(__xludf.DUMMYFUNCTION("""COMPUTED_VALUE"""),"1 kèm 1")</f>
        <v/>
      </c>
      <c r="K102" s="46">
        <f>IFERROR(__xludf.DUMMYFUNCTION("""COMPUTED_VALUE"""),64800000)</f>
        <v/>
      </c>
      <c r="L102" s="46" t="n"/>
      <c r="M102" s="2">
        <f>IFERROR(__xludf.DUMMYFUNCTION("""COMPUTED_VALUE"""),"Ngưng SD")</f>
        <v/>
      </c>
      <c r="N102" s="22" t="n"/>
      <c r="O102" s="22" t="n"/>
      <c r="P102" s="22" t="n"/>
      <c r="Q102" s="22" t="n"/>
      <c r="R102" s="22" t="n"/>
    </row>
    <row r="103">
      <c r="A103" s="7">
        <f>IFERROR(__xludf.DUMMYFUNCTION("""COMPUTED_VALUE"""),100)</f>
        <v/>
      </c>
      <c r="B103" s="8">
        <f>IFERROR(__xludf.DUMMYFUNCTION("""COMPUTED_VALUE"""),"Unity")</f>
        <v/>
      </c>
      <c r="C103" s="51">
        <f>IFERROR(__xludf.DUMMYFUNCTION("""COMPUTED_VALUE"""),"Bảng giá PT Buddy GYM, BOXING: 1 PT dạy 2 hội viên")</f>
        <v/>
      </c>
      <c r="D103" s="15" t="n"/>
      <c r="E103" s="15">
        <f>IFERROR(__xludf.DUMMYFUNCTION("""COMPUTED_VALUE"""),"PTBD1:2:12")</f>
        <v/>
      </c>
      <c r="F103" s="15">
        <f>IFERROR(__xludf.DUMMYFUNCTION("""COMPUTED_VALUE"""),"xx")</f>
        <v/>
      </c>
      <c r="G103" s="8">
        <f>IFERROR(__xludf.DUMMYFUNCTION("""COMPUTED_VALUE"""),"PT")</f>
        <v/>
      </c>
      <c r="H103" s="8">
        <f>IFERROR(__xludf.DUMMYFUNCTION("""COMPUTED_VALUE"""),"PT")</f>
        <v/>
      </c>
      <c r="I103" s="16">
        <f>IFERROR(__xludf.DUMMYFUNCTION("""COMPUTED_VALUE"""),"2 tháng/Buổi tập")</f>
        <v/>
      </c>
      <c r="J103" s="16">
        <f>IFERROR(__xludf.DUMMYFUNCTION("""COMPUTED_VALUE"""),"1 kèm 2")</f>
        <v/>
      </c>
      <c r="K103" s="46">
        <f>IFERROR(__xludf.DUMMYFUNCTION("""COMPUTED_VALUE"""),12600000)</f>
        <v/>
      </c>
      <c r="L103" s="46" t="n"/>
      <c r="M103" s="2">
        <f>IFERROR(__xludf.DUMMYFUNCTION("""COMPUTED_VALUE"""),"Ngưng SD")</f>
        <v/>
      </c>
      <c r="N103" s="22" t="n"/>
      <c r="O103" s="22" t="n"/>
      <c r="P103" s="22" t="n"/>
      <c r="Q103" s="22" t="n"/>
      <c r="R103" s="22" t="n"/>
    </row>
    <row r="104">
      <c r="A104" s="7">
        <f>IFERROR(__xludf.DUMMYFUNCTION("""COMPUTED_VALUE"""),101)</f>
        <v/>
      </c>
      <c r="B104" s="8">
        <f>IFERROR(__xludf.DUMMYFUNCTION("""COMPUTED_VALUE"""),"Unity")</f>
        <v/>
      </c>
      <c r="C104" s="51" t="n"/>
      <c r="D104" s="8" t="n"/>
      <c r="E104" s="8">
        <f>IFERROR(__xludf.DUMMYFUNCTION("""COMPUTED_VALUE"""),"PTBD1:2:24")</f>
        <v/>
      </c>
      <c r="F104" s="15">
        <f>IFERROR(__xludf.DUMMYFUNCTION("""COMPUTED_VALUE"""),"xx")</f>
        <v/>
      </c>
      <c r="G104" s="15">
        <f>IFERROR(__xludf.DUMMYFUNCTION("""COMPUTED_VALUE"""),"PT")</f>
        <v/>
      </c>
      <c r="H104" s="8">
        <f>IFERROR(__xludf.DUMMYFUNCTION("""COMPUTED_VALUE"""),"PT")</f>
        <v/>
      </c>
      <c r="I104" s="16">
        <f>IFERROR(__xludf.DUMMYFUNCTION("""COMPUTED_VALUE"""),"4 tháng/Buổi tập")</f>
        <v/>
      </c>
      <c r="J104" s="16">
        <f>IFERROR(__xludf.DUMMYFUNCTION("""COMPUTED_VALUE"""),"1 kèm 2")</f>
        <v/>
      </c>
      <c r="K104" s="48">
        <f>IFERROR(__xludf.DUMMYFUNCTION("""COMPUTED_VALUE"""),23400000)</f>
        <v/>
      </c>
      <c r="L104" s="46" t="n"/>
      <c r="M104" s="2">
        <f>IFERROR(__xludf.DUMMYFUNCTION("""COMPUTED_VALUE"""),"Ngưng SD")</f>
        <v/>
      </c>
      <c r="N104" s="22" t="n"/>
      <c r="O104" s="22" t="n"/>
      <c r="P104" s="22" t="n"/>
      <c r="Q104" s="22" t="n"/>
      <c r="R104" s="22" t="n"/>
    </row>
    <row r="105">
      <c r="A105" s="7">
        <f>IFERROR(__xludf.DUMMYFUNCTION("""COMPUTED_VALUE"""),102)</f>
        <v/>
      </c>
      <c r="B105" s="8">
        <f>IFERROR(__xludf.DUMMYFUNCTION("""COMPUTED_VALUE"""),"Unity")</f>
        <v/>
      </c>
      <c r="C105" s="51" t="n"/>
      <c r="D105" s="8" t="n"/>
      <c r="E105" s="8">
        <f>IFERROR(__xludf.DUMMYFUNCTION("""COMPUTED_VALUE"""),"PTBD1:2:36")</f>
        <v/>
      </c>
      <c r="F105" s="15">
        <f>IFERROR(__xludf.DUMMYFUNCTION("""COMPUTED_VALUE"""),"xx")</f>
        <v/>
      </c>
      <c r="G105" s="15">
        <f>IFERROR(__xludf.DUMMYFUNCTION("""COMPUTED_VALUE"""),"PT")</f>
        <v/>
      </c>
      <c r="H105" s="8">
        <f>IFERROR(__xludf.DUMMYFUNCTION("""COMPUTED_VALUE"""),"PT")</f>
        <v/>
      </c>
      <c r="I105" s="16">
        <f>IFERROR(__xludf.DUMMYFUNCTION("""COMPUTED_VALUE"""),"6 tháng/Buổi tập")</f>
        <v/>
      </c>
      <c r="J105" s="16">
        <f>IFERROR(__xludf.DUMMYFUNCTION("""COMPUTED_VALUE"""),"1 kèm 2")</f>
        <v/>
      </c>
      <c r="K105" s="48">
        <f>IFERROR(__xludf.DUMMYFUNCTION("""COMPUTED_VALUE"""),32400000)</f>
        <v/>
      </c>
      <c r="L105" s="46" t="n"/>
      <c r="M105" s="2">
        <f>IFERROR(__xludf.DUMMYFUNCTION("""COMPUTED_VALUE"""),"Ngưng SD")</f>
        <v/>
      </c>
      <c r="N105" s="22" t="n"/>
      <c r="O105" s="22" t="n"/>
      <c r="P105" s="22" t="n"/>
      <c r="Q105" s="22" t="n"/>
      <c r="R105" s="22" t="n"/>
    </row>
    <row r="106">
      <c r="A106" s="7">
        <f>IFERROR(__xludf.DUMMYFUNCTION("""COMPUTED_VALUE"""),103)</f>
        <v/>
      </c>
      <c r="B106" s="8">
        <f>IFERROR(__xludf.DUMMYFUNCTION("""COMPUTED_VALUE"""),"Unity")</f>
        <v/>
      </c>
      <c r="C106" s="51" t="n"/>
      <c r="D106" s="8" t="n"/>
      <c r="E106" s="8">
        <f>IFERROR(__xludf.DUMMYFUNCTION("""COMPUTED_VALUE"""),"PTBD1:2:48")</f>
        <v/>
      </c>
      <c r="F106" s="15">
        <f>IFERROR(__xludf.DUMMYFUNCTION("""COMPUTED_VALUE"""),"xx")</f>
        <v/>
      </c>
      <c r="G106" s="8">
        <f>IFERROR(__xludf.DUMMYFUNCTION("""COMPUTED_VALUE"""),"PT")</f>
        <v/>
      </c>
      <c r="H106" s="8">
        <f>IFERROR(__xludf.DUMMYFUNCTION("""COMPUTED_VALUE"""),"PT")</f>
        <v/>
      </c>
      <c r="I106" s="16">
        <f>IFERROR(__xludf.DUMMYFUNCTION("""COMPUTED_VALUE"""),"8 tháng/Buổi tập")</f>
        <v/>
      </c>
      <c r="J106" s="16">
        <f>IFERROR(__xludf.DUMMYFUNCTION("""COMPUTED_VALUE"""),"1 kèm 2")</f>
        <v/>
      </c>
      <c r="K106" s="46">
        <f>IFERROR(__xludf.DUMMYFUNCTION("""COMPUTED_VALUE"""),39600000)</f>
        <v/>
      </c>
      <c r="L106" s="46" t="n"/>
      <c r="M106" s="2">
        <f>IFERROR(__xludf.DUMMYFUNCTION("""COMPUTED_VALUE"""),"Ngưng SD")</f>
        <v/>
      </c>
      <c r="N106" s="22" t="n"/>
      <c r="O106" s="22" t="n"/>
      <c r="P106" s="22" t="n"/>
      <c r="Q106" s="22" t="n"/>
      <c r="R106" s="22" t="n"/>
    </row>
    <row r="107">
      <c r="A107" s="7">
        <f>IFERROR(__xludf.DUMMYFUNCTION("""COMPUTED_VALUE"""),104)</f>
        <v/>
      </c>
      <c r="B107" s="8">
        <f>IFERROR(__xludf.DUMMYFUNCTION("""COMPUTED_VALUE"""),"Unity")</f>
        <v/>
      </c>
      <c r="C107" s="51" t="n"/>
      <c r="D107" s="15" t="n"/>
      <c r="E107" s="15">
        <f>IFERROR(__xludf.DUMMYFUNCTION("""COMPUTED_VALUE"""),"PTBD1:2:72")</f>
        <v/>
      </c>
      <c r="F107" s="15">
        <f>IFERROR(__xludf.DUMMYFUNCTION("""COMPUTED_VALUE"""),"xx")</f>
        <v/>
      </c>
      <c r="G107" s="8">
        <f>IFERROR(__xludf.DUMMYFUNCTION("""COMPUTED_VALUE"""),"PT")</f>
        <v/>
      </c>
      <c r="H107" s="15">
        <f>IFERROR(__xludf.DUMMYFUNCTION("""COMPUTED_VALUE"""),"PT")</f>
        <v/>
      </c>
      <c r="I107" s="16">
        <f>IFERROR(__xludf.DUMMYFUNCTION("""COMPUTED_VALUE"""),"10 tháng/Buổi tập")</f>
        <v/>
      </c>
      <c r="J107" s="16">
        <f>IFERROR(__xludf.DUMMYFUNCTION("""COMPUTED_VALUE"""),"1 kèm 2")</f>
        <v/>
      </c>
      <c r="K107" s="46">
        <f>IFERROR(__xludf.DUMMYFUNCTION("""COMPUTED_VALUE"""),54000000)</f>
        <v/>
      </c>
      <c r="L107" s="46" t="n"/>
      <c r="M107" s="2">
        <f>IFERROR(__xludf.DUMMYFUNCTION("""COMPUTED_VALUE"""),"Ngưng SD")</f>
        <v/>
      </c>
      <c r="N107" s="22" t="n"/>
      <c r="O107" s="22" t="n"/>
      <c r="P107" s="22" t="n"/>
      <c r="Q107" s="22" t="n"/>
      <c r="R107" s="22" t="n"/>
    </row>
    <row r="108">
      <c r="A108" s="7">
        <f>IFERROR(__xludf.DUMMYFUNCTION("""COMPUTED_VALUE"""),105)</f>
        <v/>
      </c>
      <c r="B108" s="8">
        <f>IFERROR(__xludf.DUMMYFUNCTION("""COMPUTED_VALUE"""),"Unity")</f>
        <v/>
      </c>
      <c r="C108" s="51" t="n"/>
      <c r="D108" s="15" t="n"/>
      <c r="E108" s="15">
        <f>IFERROR(__xludf.DUMMYFUNCTION("""COMPUTED_VALUE"""),"PTBD1:2:144")</f>
        <v/>
      </c>
      <c r="F108" s="15">
        <f>IFERROR(__xludf.DUMMYFUNCTION("""COMPUTED_VALUE"""),"xx")</f>
        <v/>
      </c>
      <c r="G108" s="8">
        <f>IFERROR(__xludf.DUMMYFUNCTION("""COMPUTED_VALUE"""),"PT")</f>
        <v/>
      </c>
      <c r="H108" s="15">
        <f>IFERROR(__xludf.DUMMYFUNCTION("""COMPUTED_VALUE"""),"PT")</f>
        <v/>
      </c>
      <c r="I108" s="26">
        <f>IFERROR(__xludf.DUMMYFUNCTION("""COMPUTED_VALUE"""),"20 tháng/Buổi tập")</f>
        <v/>
      </c>
      <c r="J108" s="26">
        <f>IFERROR(__xludf.DUMMYFUNCTION("""COMPUTED_VALUE"""),"1 kèm 2")</f>
        <v/>
      </c>
      <c r="K108" s="46">
        <f>IFERROR(__xludf.DUMMYFUNCTION("""COMPUTED_VALUE"""),97200000)</f>
        <v/>
      </c>
      <c r="L108" s="27" t="n"/>
      <c r="M108" s="2">
        <f>IFERROR(__xludf.DUMMYFUNCTION("""COMPUTED_VALUE"""),"Ngưng SD")</f>
        <v/>
      </c>
      <c r="N108" s="22" t="n"/>
      <c r="O108" s="22" t="n"/>
      <c r="P108" s="22" t="n"/>
      <c r="Q108" s="22" t="n"/>
      <c r="R108" s="22" t="n"/>
    </row>
    <row r="109">
      <c r="A109" s="7">
        <f>IFERROR(__xludf.DUMMYFUNCTION("""COMPUTED_VALUE"""),106)</f>
        <v/>
      </c>
      <c r="B109" s="8">
        <f>IFERROR(__xludf.DUMMYFUNCTION("""COMPUTED_VALUE"""),"Unity")</f>
        <v/>
      </c>
      <c r="C109" s="51">
        <f>IFERROR(__xludf.DUMMYFUNCTION("""COMPUTED_VALUE"""),"Bảng giá PT trị liệu")</f>
        <v/>
      </c>
      <c r="D109" s="15" t="n"/>
      <c r="E109" s="15">
        <f>IFERROR(__xludf.DUMMYFUNCTION("""COMPUTED_VALUE"""),"PTTL1:1:12")</f>
        <v/>
      </c>
      <c r="F109" s="15">
        <f>IFERROR(__xludf.DUMMYFUNCTION("""COMPUTED_VALUE"""),"xx")</f>
        <v/>
      </c>
      <c r="G109" s="8">
        <f>IFERROR(__xludf.DUMMYFUNCTION("""COMPUTED_VALUE"""),"PT")</f>
        <v/>
      </c>
      <c r="H109" s="15">
        <f>IFERROR(__xludf.DUMMYFUNCTION("""COMPUTED_VALUE"""),"PT")</f>
        <v/>
      </c>
      <c r="I109" s="26">
        <f>IFERROR(__xludf.DUMMYFUNCTION("""COMPUTED_VALUE"""),"2 tháng/Buổi tập")</f>
        <v/>
      </c>
      <c r="J109" s="26">
        <f>IFERROR(__xludf.DUMMYFUNCTION("""COMPUTED_VALUE"""),"1 kèm 1")</f>
        <v/>
      </c>
      <c r="K109" s="46">
        <f>IFERROR(__xludf.DUMMYFUNCTION("""COMPUTED_VALUE"""),7800000)</f>
        <v/>
      </c>
      <c r="L109" s="27" t="n"/>
      <c r="M109" s="2">
        <f>IFERROR(__xludf.DUMMYFUNCTION("""COMPUTED_VALUE"""),"Ngưng SD")</f>
        <v/>
      </c>
      <c r="N109" s="22" t="n"/>
      <c r="O109" s="22" t="n"/>
      <c r="P109" s="22" t="n"/>
      <c r="Q109" s="22" t="n"/>
      <c r="R109" s="22" t="n"/>
    </row>
    <row r="110">
      <c r="A110" s="7">
        <f>IFERROR(__xludf.DUMMYFUNCTION("""COMPUTED_VALUE"""),107)</f>
        <v/>
      </c>
      <c r="B110" s="8">
        <f>IFERROR(__xludf.DUMMYFUNCTION("""COMPUTED_VALUE"""),"Unity")</f>
        <v/>
      </c>
      <c r="C110" s="51" t="n"/>
      <c r="D110" s="15" t="n"/>
      <c r="E110" s="15">
        <f>IFERROR(__xludf.DUMMYFUNCTION("""COMPUTED_VALUE"""),"PTTL1:1:24")</f>
        <v/>
      </c>
      <c r="F110" s="27">
        <f>IFERROR(__xludf.DUMMYFUNCTION("""COMPUTED_VALUE"""),"xx")</f>
        <v/>
      </c>
      <c r="G110" s="8">
        <f>IFERROR(__xludf.DUMMYFUNCTION("""COMPUTED_VALUE"""),"PT")</f>
        <v/>
      </c>
      <c r="H110" s="15">
        <f>IFERROR(__xludf.DUMMYFUNCTION("""COMPUTED_VALUE"""),"PT")</f>
        <v/>
      </c>
      <c r="I110" s="26">
        <f>IFERROR(__xludf.DUMMYFUNCTION("""COMPUTED_VALUE"""),"4 tháng/Buổi tập")</f>
        <v/>
      </c>
      <c r="J110" s="26">
        <f>IFERROR(__xludf.DUMMYFUNCTION("""COMPUTED_VALUE"""),"1 kèm 1")</f>
        <v/>
      </c>
      <c r="K110" s="46">
        <f>IFERROR(__xludf.DUMMYFUNCTION("""COMPUTED_VALUE"""),12000000)</f>
        <v/>
      </c>
      <c r="L110" s="27" t="n"/>
      <c r="M110" s="2">
        <f>IFERROR(__xludf.DUMMYFUNCTION("""COMPUTED_VALUE"""),"Ngưng SD")</f>
        <v/>
      </c>
      <c r="N110" s="22" t="n"/>
      <c r="O110" s="22" t="n"/>
      <c r="P110" s="22" t="n"/>
      <c r="Q110" s="22" t="n"/>
      <c r="R110" s="22" t="n"/>
    </row>
    <row r="111">
      <c r="A111" s="7">
        <f>IFERROR(__xludf.DUMMYFUNCTION("""COMPUTED_VALUE"""),108)</f>
        <v/>
      </c>
      <c r="B111" s="8">
        <f>IFERROR(__xludf.DUMMYFUNCTION("""COMPUTED_VALUE"""),"Unity")</f>
        <v/>
      </c>
      <c r="C111" s="8">
        <f>IFERROR(__xludf.DUMMYFUNCTION("""COMPUTED_VALUE"""),"Bảng giá PT Group PT tập từ 3 người trở lên")</f>
        <v/>
      </c>
      <c r="D111" s="15">
        <f>IFERROR(__xludf.DUMMYFUNCTION("""COMPUTED_VALUE"""),"PTGR1:3TL:")</f>
        <v/>
      </c>
      <c r="E111" s="15">
        <f>IFERROR(__xludf.DUMMYFUNCTION("""COMPUTED_VALUE"""),"PTGR1:3TL:")</f>
        <v/>
      </c>
      <c r="F111" s="15">
        <f>IFERROR(__xludf.DUMMYFUNCTION("""COMPUTED_VALUE"""),"xx")</f>
        <v/>
      </c>
      <c r="G111" s="8">
        <f>IFERROR(__xludf.DUMMYFUNCTION("""COMPUTED_VALUE"""),"PT")</f>
        <v/>
      </c>
      <c r="H111" s="8">
        <f>IFERROR(__xludf.DUMMYFUNCTION("""COMPUTED_VALUE"""),"PT")</f>
        <v/>
      </c>
      <c r="I111" s="16">
        <f>IFERROR(__xludf.DUMMYFUNCTION("""COMPUTED_VALUE""")," tháng/Buổi tập")</f>
        <v/>
      </c>
      <c r="J111" s="16">
        <f>IFERROR(__xludf.DUMMYFUNCTION("""COMPUTED_VALUE"""),"1 kèm nhiều")</f>
        <v/>
      </c>
      <c r="K111" s="49">
        <f>IFERROR(__xludf.DUMMYFUNCTION("""COMPUTED_VALUE"""),200000)</f>
        <v/>
      </c>
      <c r="L111" s="15" t="n"/>
      <c r="M111" s="2">
        <f>IFERROR(__xludf.DUMMYFUNCTION("""COMPUTED_VALUE"""),"")</f>
        <v/>
      </c>
      <c r="N111" s="22" t="n"/>
      <c r="O111" s="22" t="n"/>
      <c r="P111" s="22" t="n"/>
      <c r="Q111" s="22" t="n"/>
      <c r="R111" s="22" t="n"/>
    </row>
    <row r="112">
      <c r="A112" s="7">
        <f>IFERROR(__xludf.DUMMYFUNCTION("""COMPUTED_VALUE"""),109)</f>
        <v/>
      </c>
      <c r="B112" s="8">
        <f>IFERROR(__xludf.DUMMYFUNCTION("""COMPUTED_VALUE"""),"Unity")</f>
        <v/>
      </c>
      <c r="C112" s="8">
        <f>IFERROR(__xludf.DUMMYFUNCTION("""COMPUTED_VALUE"""),"Bảng giá GYM, BOXING")</f>
        <v/>
      </c>
      <c r="D112" s="15" t="n"/>
      <c r="E112" s="15">
        <f>IFERROR(__xludf.DUMMYFUNCTION("""COMPUTED_VALUE"""),"PTGB1:1:12:MBS")</f>
        <v/>
      </c>
      <c r="F112" s="15">
        <f>IFERROR(__xludf.DUMMYFUNCTION("""COMPUTED_VALUE"""),"xx")</f>
        <v/>
      </c>
      <c r="G112" s="8">
        <f>IFERROR(__xludf.DUMMYFUNCTION("""COMPUTED_VALUE"""),"PT")</f>
        <v/>
      </c>
      <c r="H112" s="8">
        <f>IFERROR(__xludf.DUMMYFUNCTION("""COMPUTED_VALUE"""),"PT")</f>
        <v/>
      </c>
      <c r="I112" s="16">
        <f>IFERROR(__xludf.DUMMYFUNCTION("""COMPUTED_VALUE"""),"2 tháng/Buổi tập")</f>
        <v/>
      </c>
      <c r="J112" s="16">
        <f>IFERROR(__xludf.DUMMYFUNCTION("""COMPUTED_VALUE"""),"1 kèm 1")</f>
        <v/>
      </c>
      <c r="K112" s="49">
        <f>IFERROR(__xludf.DUMMYFUNCTION("""COMPUTED_VALUE"""),8400000)</f>
        <v/>
      </c>
      <c r="L112" s="15" t="n"/>
      <c r="M112" s="2">
        <f>IFERROR(__xludf.DUMMYFUNCTION("""COMPUTED_VALUE"""),"Ngưng SD")</f>
        <v/>
      </c>
      <c r="N112" s="22" t="n"/>
      <c r="O112" s="22" t="n"/>
      <c r="P112" s="22" t="n"/>
      <c r="Q112" s="22" t="n"/>
      <c r="R112" s="22" t="n"/>
    </row>
    <row r="113">
      <c r="A113" s="7">
        <f>IFERROR(__xludf.DUMMYFUNCTION("""COMPUTED_VALUE"""),110)</f>
        <v/>
      </c>
      <c r="B113" s="8">
        <f>IFERROR(__xludf.DUMMYFUNCTION("""COMPUTED_VALUE"""),"Unity")</f>
        <v/>
      </c>
      <c r="C113" s="8" t="n"/>
      <c r="D113" s="15" t="n"/>
      <c r="E113" s="15">
        <f>IFERROR(__xludf.DUMMYFUNCTION("""COMPUTED_VALUE"""),"PTGB1:1:24:MBS")</f>
        <v/>
      </c>
      <c r="F113" s="15">
        <f>IFERROR(__xludf.DUMMYFUNCTION("""COMPUTED_VALUE"""),"xx")</f>
        <v/>
      </c>
      <c r="G113" s="8">
        <f>IFERROR(__xludf.DUMMYFUNCTION("""COMPUTED_VALUE"""),"PT")</f>
        <v/>
      </c>
      <c r="H113" s="8">
        <f>IFERROR(__xludf.DUMMYFUNCTION("""COMPUTED_VALUE"""),"PT")</f>
        <v/>
      </c>
      <c r="I113" s="16">
        <f>IFERROR(__xludf.DUMMYFUNCTION("""COMPUTED_VALUE"""),"4 tháng/Buổi tập")</f>
        <v/>
      </c>
      <c r="J113" s="16">
        <f>IFERROR(__xludf.DUMMYFUNCTION("""COMPUTED_VALUE"""),"1 kèm 1")</f>
        <v/>
      </c>
      <c r="K113" s="49">
        <f>IFERROR(__xludf.DUMMYFUNCTION("""COMPUTED_VALUE"""),15600000)</f>
        <v/>
      </c>
      <c r="L113" s="15" t="n"/>
      <c r="M113" s="2">
        <f>IFERROR(__xludf.DUMMYFUNCTION("""COMPUTED_VALUE"""),"Ngưng SD")</f>
        <v/>
      </c>
      <c r="N113" s="22" t="n"/>
      <c r="O113" s="22" t="n"/>
      <c r="P113" s="22" t="n"/>
      <c r="Q113" s="22" t="n"/>
      <c r="R113" s="22" t="n"/>
    </row>
    <row r="114">
      <c r="A114" s="7">
        <f>IFERROR(__xludf.DUMMYFUNCTION("""COMPUTED_VALUE"""),111)</f>
        <v/>
      </c>
      <c r="B114" s="8">
        <f>IFERROR(__xludf.DUMMYFUNCTION("""COMPUTED_VALUE"""),"Unity")</f>
        <v/>
      </c>
      <c r="C114" s="8" t="n"/>
      <c r="D114" s="15" t="n"/>
      <c r="E114" s="15">
        <f>IFERROR(__xludf.DUMMYFUNCTION("""COMPUTED_VALUE"""),"PTGB1:1:36:MBS")</f>
        <v/>
      </c>
      <c r="F114" s="15">
        <f>IFERROR(__xludf.DUMMYFUNCTION("""COMPUTED_VALUE"""),"xx")</f>
        <v/>
      </c>
      <c r="G114" s="8">
        <f>IFERROR(__xludf.DUMMYFUNCTION("""COMPUTED_VALUE"""),"PT")</f>
        <v/>
      </c>
      <c r="H114" s="8">
        <f>IFERROR(__xludf.DUMMYFUNCTION("""COMPUTED_VALUE"""),"PT")</f>
        <v/>
      </c>
      <c r="I114" s="16">
        <f>IFERROR(__xludf.DUMMYFUNCTION("""COMPUTED_VALUE"""),"6 tháng/Buổi tập")</f>
        <v/>
      </c>
      <c r="J114" s="16">
        <f>IFERROR(__xludf.DUMMYFUNCTION("""COMPUTED_VALUE"""),"1 kèm 1")</f>
        <v/>
      </c>
      <c r="K114" s="49">
        <f>IFERROR(__xludf.DUMMYFUNCTION("""COMPUTED_VALUE"""),21600000)</f>
        <v/>
      </c>
      <c r="L114" s="15" t="n"/>
      <c r="M114" s="15">
        <f>IFERROR(__xludf.DUMMYFUNCTION("""COMPUTED_VALUE"""),"Ngưng SD")</f>
        <v/>
      </c>
      <c r="N114" s="22" t="n"/>
      <c r="O114" s="22" t="n"/>
      <c r="P114" s="22" t="n"/>
      <c r="Q114" s="22" t="n"/>
      <c r="R114" s="22" t="n"/>
    </row>
    <row r="115">
      <c r="A115" s="7">
        <f>IFERROR(__xludf.DUMMYFUNCTION("""COMPUTED_VALUE"""),112)</f>
        <v/>
      </c>
      <c r="B115" s="8">
        <f>IFERROR(__xludf.DUMMYFUNCTION("""COMPUTED_VALUE"""),"Unity")</f>
        <v/>
      </c>
      <c r="C115" s="8" t="n"/>
      <c r="D115" s="15" t="n"/>
      <c r="E115" s="15">
        <f>IFERROR(__xludf.DUMMYFUNCTION("""COMPUTED_VALUE"""),"PTGB1:1:48:MBS")</f>
        <v/>
      </c>
      <c r="F115" s="15">
        <f>IFERROR(__xludf.DUMMYFUNCTION("""COMPUTED_VALUE"""),"xx")</f>
        <v/>
      </c>
      <c r="G115" s="8">
        <f>IFERROR(__xludf.DUMMYFUNCTION("""COMPUTED_VALUE"""),"PT")</f>
        <v/>
      </c>
      <c r="H115" s="8">
        <f>IFERROR(__xludf.DUMMYFUNCTION("""COMPUTED_VALUE"""),"PT")</f>
        <v/>
      </c>
      <c r="I115" s="16">
        <f>IFERROR(__xludf.DUMMYFUNCTION("""COMPUTED_VALUE"""),"8 tháng/Buổi tập")</f>
        <v/>
      </c>
      <c r="J115" s="16">
        <f>IFERROR(__xludf.DUMMYFUNCTION("""COMPUTED_VALUE"""),"1 kèm 1")</f>
        <v/>
      </c>
      <c r="K115" s="49">
        <f>IFERROR(__xludf.DUMMYFUNCTION("""COMPUTED_VALUE"""),26400000)</f>
        <v/>
      </c>
      <c r="L115" s="15" t="n"/>
      <c r="M115" s="15">
        <f>IFERROR(__xludf.DUMMYFUNCTION("""COMPUTED_VALUE"""),"Ngưng SD")</f>
        <v/>
      </c>
      <c r="N115" s="22" t="n"/>
      <c r="O115" s="22" t="n"/>
      <c r="P115" s="22" t="n"/>
      <c r="Q115" s="22" t="n"/>
      <c r="R115" s="22" t="n"/>
    </row>
    <row r="116">
      <c r="A116" s="7">
        <f>IFERROR(__xludf.DUMMYFUNCTION("""COMPUTED_VALUE"""),113)</f>
        <v/>
      </c>
      <c r="B116" s="8">
        <f>IFERROR(__xludf.DUMMYFUNCTION("""COMPUTED_VALUE"""),"Unity")</f>
        <v/>
      </c>
      <c r="C116" s="51" t="n"/>
      <c r="D116" s="8" t="n"/>
      <c r="E116" s="8">
        <f>IFERROR(__xludf.DUMMYFUNCTION("""COMPUTED_VALUE"""),"PTGB1:1:72:MBS")</f>
        <v/>
      </c>
      <c r="F116" s="15">
        <f>IFERROR(__xludf.DUMMYFUNCTION("""COMPUTED_VALUE"""),"xx")</f>
        <v/>
      </c>
      <c r="G116" s="8">
        <f>IFERROR(__xludf.DUMMYFUNCTION("""COMPUTED_VALUE"""),"PT")</f>
        <v/>
      </c>
      <c r="H116" s="8">
        <f>IFERROR(__xludf.DUMMYFUNCTION("""COMPUTED_VALUE"""),"PT")</f>
        <v/>
      </c>
      <c r="I116" s="16">
        <f>IFERROR(__xludf.DUMMYFUNCTION("""COMPUTED_VALUE"""),"10 tháng/Buổi tập")</f>
        <v/>
      </c>
      <c r="J116" s="16">
        <f>IFERROR(__xludf.DUMMYFUNCTION("""COMPUTED_VALUE"""),"1 kèm 1")</f>
        <v/>
      </c>
      <c r="K116" s="48">
        <f>IFERROR(__xludf.DUMMYFUNCTION("""COMPUTED_VALUE"""),36000000)</f>
        <v/>
      </c>
      <c r="L116" s="46" t="n"/>
      <c r="M116" s="15">
        <f>IFERROR(__xludf.DUMMYFUNCTION("""COMPUTED_VALUE"""),"Ngưng SD")</f>
        <v/>
      </c>
      <c r="N116" s="22" t="n"/>
      <c r="O116" s="22" t="n"/>
      <c r="P116" s="22" t="n"/>
      <c r="Q116" s="22" t="n"/>
      <c r="R116" s="22" t="n"/>
    </row>
    <row r="117">
      <c r="A117" s="7">
        <f>IFERROR(__xludf.DUMMYFUNCTION("""COMPUTED_VALUE"""),114)</f>
        <v/>
      </c>
      <c r="B117" s="8">
        <f>IFERROR(__xludf.DUMMYFUNCTION("""COMPUTED_VALUE"""),"Unity")</f>
        <v/>
      </c>
      <c r="C117" s="51" t="n"/>
      <c r="D117" s="8" t="n"/>
      <c r="E117" s="8">
        <f>IFERROR(__xludf.DUMMYFUNCTION("""COMPUTED_VALUE"""),"PTGB1:1:144:MBS")</f>
        <v/>
      </c>
      <c r="F117" s="15">
        <f>IFERROR(__xludf.DUMMYFUNCTION("""COMPUTED_VALUE"""),"xx")</f>
        <v/>
      </c>
      <c r="G117" s="8">
        <f>IFERROR(__xludf.DUMMYFUNCTION("""COMPUTED_VALUE"""),"PT")</f>
        <v/>
      </c>
      <c r="H117" s="8">
        <f>IFERROR(__xludf.DUMMYFUNCTION("""COMPUTED_VALUE"""),"PT")</f>
        <v/>
      </c>
      <c r="I117" s="16">
        <f>IFERROR(__xludf.DUMMYFUNCTION("""COMPUTED_VALUE"""),"20 tháng/Buổi tập")</f>
        <v/>
      </c>
      <c r="J117" s="16">
        <f>IFERROR(__xludf.DUMMYFUNCTION("""COMPUTED_VALUE"""),"1 kèm 1")</f>
        <v/>
      </c>
      <c r="K117" s="48">
        <f>IFERROR(__xludf.DUMMYFUNCTION("""COMPUTED_VALUE"""),64800000)</f>
        <v/>
      </c>
      <c r="L117" s="46" t="n"/>
      <c r="M117" s="15">
        <f>IFERROR(__xludf.DUMMYFUNCTION("""COMPUTED_VALUE"""),"Ngưng SD")</f>
        <v/>
      </c>
      <c r="N117" s="22" t="n"/>
      <c r="O117" s="22" t="n"/>
      <c r="P117" s="22" t="n"/>
      <c r="Q117" s="22" t="n"/>
      <c r="R117" s="22" t="n"/>
    </row>
    <row r="118">
      <c r="A118" s="7">
        <f>IFERROR(__xludf.DUMMYFUNCTION("""COMPUTED_VALUE"""),115)</f>
        <v/>
      </c>
      <c r="B118" s="8">
        <f>IFERROR(__xludf.DUMMYFUNCTION("""COMPUTED_VALUE"""),"Unity")</f>
        <v/>
      </c>
      <c r="C118" s="51">
        <f>IFERROR(__xludf.DUMMYFUNCTION("""COMPUTED_VALUE"""),"Bảng giá PT Buddy GYM, BOXING: 1 PT dạy 2 hội viên")</f>
        <v/>
      </c>
      <c r="D118" s="8" t="n"/>
      <c r="E118" s="8">
        <f>IFERROR(__xludf.DUMMYFUNCTION("""COMPUTED_VALUE"""),"PTBD1:2:12:MBS")</f>
        <v/>
      </c>
      <c r="F118" s="15">
        <f>IFERROR(__xludf.DUMMYFUNCTION("""COMPUTED_VALUE"""),"xx")</f>
        <v/>
      </c>
      <c r="G118" s="8">
        <f>IFERROR(__xludf.DUMMYFUNCTION("""COMPUTED_VALUE"""),"PT")</f>
        <v/>
      </c>
      <c r="H118" s="8">
        <f>IFERROR(__xludf.DUMMYFUNCTION("""COMPUTED_VALUE"""),"PT")</f>
        <v/>
      </c>
      <c r="I118" s="16">
        <f>IFERROR(__xludf.DUMMYFUNCTION("""COMPUTED_VALUE"""),"2 tháng/Buổi tập")</f>
        <v/>
      </c>
      <c r="J118" s="16">
        <f>IFERROR(__xludf.DUMMYFUNCTION("""COMPUTED_VALUE"""),"1 kèm 2")</f>
        <v/>
      </c>
      <c r="K118" s="48">
        <f>IFERROR(__xludf.DUMMYFUNCTION("""COMPUTED_VALUE"""),12600000)</f>
        <v/>
      </c>
      <c r="L118" s="46" t="n"/>
      <c r="M118" s="15">
        <f>IFERROR(__xludf.DUMMYFUNCTION("""COMPUTED_VALUE"""),"Ngưng SD")</f>
        <v/>
      </c>
      <c r="N118" s="22" t="n"/>
      <c r="O118" s="22" t="n"/>
      <c r="P118" s="22" t="n"/>
      <c r="Q118" s="22" t="n"/>
      <c r="R118" s="22" t="n"/>
    </row>
    <row r="119">
      <c r="A119" s="7">
        <f>IFERROR(__xludf.DUMMYFUNCTION("""COMPUTED_VALUE"""),116)</f>
        <v/>
      </c>
      <c r="B119" s="8">
        <f>IFERROR(__xludf.DUMMYFUNCTION("""COMPUTED_VALUE"""),"Unity")</f>
        <v/>
      </c>
      <c r="C119" s="51" t="n"/>
      <c r="D119" s="8" t="n"/>
      <c r="E119" s="8">
        <f>IFERROR(__xludf.DUMMYFUNCTION("""COMPUTED_VALUE"""),"PTBD1:2:24:MBS")</f>
        <v/>
      </c>
      <c r="F119" s="15">
        <f>IFERROR(__xludf.DUMMYFUNCTION("""COMPUTED_VALUE"""),"xx")</f>
        <v/>
      </c>
      <c r="G119" s="8">
        <f>IFERROR(__xludf.DUMMYFUNCTION("""COMPUTED_VALUE"""),"PT")</f>
        <v/>
      </c>
      <c r="H119" s="8">
        <f>IFERROR(__xludf.DUMMYFUNCTION("""COMPUTED_VALUE"""),"PT")</f>
        <v/>
      </c>
      <c r="I119" s="16">
        <f>IFERROR(__xludf.DUMMYFUNCTION("""COMPUTED_VALUE"""),"4 tháng/Buổi tập")</f>
        <v/>
      </c>
      <c r="J119" s="16">
        <f>IFERROR(__xludf.DUMMYFUNCTION("""COMPUTED_VALUE"""),"1 kèm 2")</f>
        <v/>
      </c>
      <c r="K119" s="48">
        <f>IFERROR(__xludf.DUMMYFUNCTION("""COMPUTED_VALUE"""),23400000)</f>
        <v/>
      </c>
      <c r="L119" s="46" t="n"/>
      <c r="M119" s="15">
        <f>IFERROR(__xludf.DUMMYFUNCTION("""COMPUTED_VALUE"""),"Ngưng SD")</f>
        <v/>
      </c>
      <c r="N119" s="22" t="n"/>
      <c r="O119" s="22" t="n"/>
      <c r="P119" s="22" t="n"/>
      <c r="Q119" s="22" t="n"/>
      <c r="R119" s="22" t="n"/>
    </row>
    <row r="120">
      <c r="A120" s="7">
        <f>IFERROR(__xludf.DUMMYFUNCTION("""COMPUTED_VALUE"""),117)</f>
        <v/>
      </c>
      <c r="B120" s="8">
        <f>IFERROR(__xludf.DUMMYFUNCTION("""COMPUTED_VALUE"""),"Unity")</f>
        <v/>
      </c>
      <c r="C120" s="51" t="n"/>
      <c r="D120" s="8" t="n"/>
      <c r="E120" s="8">
        <f>IFERROR(__xludf.DUMMYFUNCTION("""COMPUTED_VALUE"""),"PTBD1:2:36:MBS")</f>
        <v/>
      </c>
      <c r="F120" s="15">
        <f>IFERROR(__xludf.DUMMYFUNCTION("""COMPUTED_VALUE"""),"xx")</f>
        <v/>
      </c>
      <c r="G120" s="8">
        <f>IFERROR(__xludf.DUMMYFUNCTION("""COMPUTED_VALUE"""),"PT")</f>
        <v/>
      </c>
      <c r="H120" s="8">
        <f>IFERROR(__xludf.DUMMYFUNCTION("""COMPUTED_VALUE"""),"PT")</f>
        <v/>
      </c>
      <c r="I120" s="16">
        <f>IFERROR(__xludf.DUMMYFUNCTION("""COMPUTED_VALUE"""),"6 tháng/Buổi tập")</f>
        <v/>
      </c>
      <c r="J120" s="16">
        <f>IFERROR(__xludf.DUMMYFUNCTION("""COMPUTED_VALUE"""),"1 kèm 2")</f>
        <v/>
      </c>
      <c r="K120" s="48">
        <f>IFERROR(__xludf.DUMMYFUNCTION("""COMPUTED_VALUE"""),32400000)</f>
        <v/>
      </c>
      <c r="L120" s="46" t="n"/>
      <c r="M120" s="15">
        <f>IFERROR(__xludf.DUMMYFUNCTION("""COMPUTED_VALUE"""),"Ngưng SD")</f>
        <v/>
      </c>
      <c r="N120" s="22" t="n"/>
      <c r="O120" s="22" t="n"/>
      <c r="P120" s="22" t="n"/>
      <c r="Q120" s="22" t="n"/>
      <c r="R120" s="22" t="n"/>
    </row>
    <row r="121">
      <c r="A121" s="7">
        <f>IFERROR(__xludf.DUMMYFUNCTION("""COMPUTED_VALUE"""),118)</f>
        <v/>
      </c>
      <c r="B121" s="8">
        <f>IFERROR(__xludf.DUMMYFUNCTION("""COMPUTED_VALUE"""),"Unity")</f>
        <v/>
      </c>
      <c r="C121" s="51" t="n"/>
      <c r="D121" s="8" t="n"/>
      <c r="E121" s="8">
        <f>IFERROR(__xludf.DUMMYFUNCTION("""COMPUTED_VALUE"""),"PTBD1:2:48:MBS")</f>
        <v/>
      </c>
      <c r="F121" s="15">
        <f>IFERROR(__xludf.DUMMYFUNCTION("""COMPUTED_VALUE"""),"xx")</f>
        <v/>
      </c>
      <c r="G121" s="8">
        <f>IFERROR(__xludf.DUMMYFUNCTION("""COMPUTED_VALUE"""),"PT")</f>
        <v/>
      </c>
      <c r="H121" s="8">
        <f>IFERROR(__xludf.DUMMYFUNCTION("""COMPUTED_VALUE"""),"PT")</f>
        <v/>
      </c>
      <c r="I121" s="16">
        <f>IFERROR(__xludf.DUMMYFUNCTION("""COMPUTED_VALUE"""),"8 tháng/Buổi tập")</f>
        <v/>
      </c>
      <c r="J121" s="16">
        <f>IFERROR(__xludf.DUMMYFUNCTION("""COMPUTED_VALUE"""),"1 kèm 2")</f>
        <v/>
      </c>
      <c r="K121" s="48">
        <f>IFERROR(__xludf.DUMMYFUNCTION("""COMPUTED_VALUE"""),39600000)</f>
        <v/>
      </c>
      <c r="L121" s="46" t="n"/>
      <c r="M121" s="15">
        <f>IFERROR(__xludf.DUMMYFUNCTION("""COMPUTED_VALUE"""),"Ngưng SD")</f>
        <v/>
      </c>
      <c r="N121" s="22" t="n"/>
      <c r="O121" s="22" t="n"/>
      <c r="P121" s="22" t="n"/>
      <c r="Q121" s="22" t="n"/>
      <c r="R121" s="22" t="n"/>
    </row>
    <row r="122">
      <c r="A122" s="7">
        <f>IFERROR(__xludf.DUMMYFUNCTION("""COMPUTED_VALUE"""),119)</f>
        <v/>
      </c>
      <c r="B122" s="8">
        <f>IFERROR(__xludf.DUMMYFUNCTION("""COMPUTED_VALUE"""),"Unity")</f>
        <v/>
      </c>
      <c r="C122" s="51" t="n"/>
      <c r="D122" s="8" t="n"/>
      <c r="E122" s="8">
        <f>IFERROR(__xludf.DUMMYFUNCTION("""COMPUTED_VALUE"""),"PTBD1:2:72:MBS")</f>
        <v/>
      </c>
      <c r="F122" s="15">
        <f>IFERROR(__xludf.DUMMYFUNCTION("""COMPUTED_VALUE"""),"xx")</f>
        <v/>
      </c>
      <c r="G122" s="8">
        <f>IFERROR(__xludf.DUMMYFUNCTION("""COMPUTED_VALUE"""),"PT")</f>
        <v/>
      </c>
      <c r="H122" s="8">
        <f>IFERROR(__xludf.DUMMYFUNCTION("""COMPUTED_VALUE"""),"PT")</f>
        <v/>
      </c>
      <c r="I122" s="16">
        <f>IFERROR(__xludf.DUMMYFUNCTION("""COMPUTED_VALUE"""),"10 tháng/Buổi tập")</f>
        <v/>
      </c>
      <c r="J122" s="16">
        <f>IFERROR(__xludf.DUMMYFUNCTION("""COMPUTED_VALUE"""),"1 kèm 2")</f>
        <v/>
      </c>
      <c r="K122" s="48">
        <f>IFERROR(__xludf.DUMMYFUNCTION("""COMPUTED_VALUE"""),54000000)</f>
        <v/>
      </c>
      <c r="L122" s="46" t="n"/>
      <c r="M122" s="15">
        <f>IFERROR(__xludf.DUMMYFUNCTION("""COMPUTED_VALUE"""),"Ngưng SD")</f>
        <v/>
      </c>
      <c r="N122" s="22" t="n"/>
      <c r="O122" s="22" t="n"/>
      <c r="P122" s="22" t="n"/>
      <c r="Q122" s="22" t="n"/>
      <c r="R122" s="22" t="n"/>
    </row>
    <row r="123">
      <c r="A123" s="7">
        <f>IFERROR(__xludf.DUMMYFUNCTION("""COMPUTED_VALUE"""),120)</f>
        <v/>
      </c>
      <c r="B123" s="8">
        <f>IFERROR(__xludf.DUMMYFUNCTION("""COMPUTED_VALUE"""),"Unity")</f>
        <v/>
      </c>
      <c r="C123" s="51" t="n"/>
      <c r="D123" s="8" t="n"/>
      <c r="E123" s="8">
        <f>IFERROR(__xludf.DUMMYFUNCTION("""COMPUTED_VALUE"""),"PTBD1:2:144:MBS")</f>
        <v/>
      </c>
      <c r="F123" s="15">
        <f>IFERROR(__xludf.DUMMYFUNCTION("""COMPUTED_VALUE"""),"xx")</f>
        <v/>
      </c>
      <c r="G123" s="8">
        <f>IFERROR(__xludf.DUMMYFUNCTION("""COMPUTED_VALUE"""),"PT")</f>
        <v/>
      </c>
      <c r="H123" s="8">
        <f>IFERROR(__xludf.DUMMYFUNCTION("""COMPUTED_VALUE"""),"PT")</f>
        <v/>
      </c>
      <c r="I123" s="16">
        <f>IFERROR(__xludf.DUMMYFUNCTION("""COMPUTED_VALUE"""),"20 tháng/Buổi tập")</f>
        <v/>
      </c>
      <c r="J123" s="16">
        <f>IFERROR(__xludf.DUMMYFUNCTION("""COMPUTED_VALUE"""),"1 kèm 2")</f>
        <v/>
      </c>
      <c r="K123" s="48">
        <f>IFERROR(__xludf.DUMMYFUNCTION("""COMPUTED_VALUE"""),97200000)</f>
        <v/>
      </c>
      <c r="L123" s="46" t="n"/>
      <c r="M123" s="15">
        <f>IFERROR(__xludf.DUMMYFUNCTION("""COMPUTED_VALUE"""),"Ngưng SD")</f>
        <v/>
      </c>
      <c r="N123" s="22" t="n"/>
      <c r="O123" s="22" t="n"/>
      <c r="P123" s="22" t="n"/>
      <c r="Q123" s="22" t="n"/>
      <c r="R123" s="22" t="n"/>
    </row>
    <row r="124">
      <c r="A124" s="7">
        <f>IFERROR(__xludf.DUMMYFUNCTION("""COMPUTED_VALUE"""),121)</f>
        <v/>
      </c>
      <c r="B124" s="8">
        <f>IFERROR(__xludf.DUMMYFUNCTION("""COMPUTED_VALUE"""),"Unity")</f>
        <v/>
      </c>
      <c r="C124" s="51">
        <f>IFERROR(__xludf.DUMMYFUNCTION("""COMPUTED_VALUE"""),"Bảng giá PT trị liệu")</f>
        <v/>
      </c>
      <c r="D124" s="8" t="n"/>
      <c r="E124" s="8">
        <f>IFERROR(__xludf.DUMMYFUNCTION("""COMPUTED_VALUE"""),"PTTL1:1:12:MBS")</f>
        <v/>
      </c>
      <c r="F124" s="15">
        <f>IFERROR(__xludf.DUMMYFUNCTION("""COMPUTED_VALUE"""),"xx")</f>
        <v/>
      </c>
      <c r="G124" s="8">
        <f>IFERROR(__xludf.DUMMYFUNCTION("""COMPUTED_VALUE"""),"PT")</f>
        <v/>
      </c>
      <c r="H124" s="8">
        <f>IFERROR(__xludf.DUMMYFUNCTION("""COMPUTED_VALUE"""),"PT")</f>
        <v/>
      </c>
      <c r="I124" s="16">
        <f>IFERROR(__xludf.DUMMYFUNCTION("""COMPUTED_VALUE"""),"2 tháng/Buổi tập")</f>
        <v/>
      </c>
      <c r="J124" s="16">
        <f>IFERROR(__xludf.DUMMYFUNCTION("""COMPUTED_VALUE"""),"1 kèm 1")</f>
        <v/>
      </c>
      <c r="K124" s="48">
        <f>IFERROR(__xludf.DUMMYFUNCTION("""COMPUTED_VALUE"""),7800000)</f>
        <v/>
      </c>
      <c r="L124" s="46" t="n"/>
      <c r="M124" s="15">
        <f>IFERROR(__xludf.DUMMYFUNCTION("""COMPUTED_VALUE"""),"Ngưng SD")</f>
        <v/>
      </c>
      <c r="N124" s="22" t="n"/>
      <c r="O124" s="22" t="n"/>
      <c r="P124" s="22" t="n"/>
      <c r="Q124" s="22" t="n"/>
      <c r="R124" s="22" t="n"/>
    </row>
    <row r="125">
      <c r="A125" s="7">
        <f>IFERROR(__xludf.DUMMYFUNCTION("""COMPUTED_VALUE"""),122)</f>
        <v/>
      </c>
      <c r="B125" s="8">
        <f>IFERROR(__xludf.DUMMYFUNCTION("""COMPUTED_VALUE"""),"Unity")</f>
        <v/>
      </c>
      <c r="C125" s="51" t="n"/>
      <c r="D125" s="8" t="n"/>
      <c r="E125" s="8">
        <f>IFERROR(__xludf.DUMMYFUNCTION("""COMPUTED_VALUE"""),"PTTL1:1:24:MBS")</f>
        <v/>
      </c>
      <c r="F125" s="15">
        <f>IFERROR(__xludf.DUMMYFUNCTION("""COMPUTED_VALUE"""),"xx")</f>
        <v/>
      </c>
      <c r="G125" s="8">
        <f>IFERROR(__xludf.DUMMYFUNCTION("""COMPUTED_VALUE"""),"PT")</f>
        <v/>
      </c>
      <c r="H125" s="8">
        <f>IFERROR(__xludf.DUMMYFUNCTION("""COMPUTED_VALUE"""),"PT")</f>
        <v/>
      </c>
      <c r="I125" s="16">
        <f>IFERROR(__xludf.DUMMYFUNCTION("""COMPUTED_VALUE"""),"4 tháng/Buổi tập")</f>
        <v/>
      </c>
      <c r="J125" s="16">
        <f>IFERROR(__xludf.DUMMYFUNCTION("""COMPUTED_VALUE"""),"1 kèm 1")</f>
        <v/>
      </c>
      <c r="K125" s="48">
        <f>IFERROR(__xludf.DUMMYFUNCTION("""COMPUTED_VALUE"""),12000000)</f>
        <v/>
      </c>
      <c r="L125" s="46" t="n"/>
      <c r="M125" s="15">
        <f>IFERROR(__xludf.DUMMYFUNCTION("""COMPUTED_VALUE"""),"Ngưng SD")</f>
        <v/>
      </c>
      <c r="N125" s="22" t="n"/>
      <c r="O125" s="22" t="n"/>
      <c r="P125" s="22" t="n"/>
      <c r="Q125" s="22" t="n"/>
      <c r="R125" s="22" t="n"/>
    </row>
    <row r="126">
      <c r="A126" s="7">
        <f>IFERROR(__xludf.DUMMYFUNCTION("""COMPUTED_VALUE"""),123)</f>
        <v/>
      </c>
      <c r="B126" s="8">
        <f>IFERROR(__xludf.DUMMYFUNCTION("""COMPUTED_VALUE"""),"Unity")</f>
        <v/>
      </c>
      <c r="C126" s="51">
        <f>IFERROR(__xludf.DUMMYFUNCTION("""COMPUTED_VALUE"""),"Bảng giá PT Group PT tập từ 3 người trở lên")</f>
        <v/>
      </c>
      <c r="D126" s="8">
        <f>IFERROR(__xludf.DUMMYFUNCTION("""COMPUTED_VALUE"""),"PTGR1:3TL:MBS")</f>
        <v/>
      </c>
      <c r="E126" s="8">
        <f>IFERROR(__xludf.DUMMYFUNCTION("""COMPUTED_VALUE"""),"PTGR1:3TL:MBS")</f>
        <v/>
      </c>
      <c r="F126" s="15">
        <f>IFERROR(__xludf.DUMMYFUNCTION("""COMPUTED_VALUE"""),"xx")</f>
        <v/>
      </c>
      <c r="G126" s="8">
        <f>IFERROR(__xludf.DUMMYFUNCTION("""COMPUTED_VALUE"""),"PT")</f>
        <v/>
      </c>
      <c r="H126" s="8">
        <f>IFERROR(__xludf.DUMMYFUNCTION("""COMPUTED_VALUE"""),"PT")</f>
        <v/>
      </c>
      <c r="I126" s="16">
        <f>IFERROR(__xludf.DUMMYFUNCTION("""COMPUTED_VALUE""")," tháng/Buổi tập")</f>
        <v/>
      </c>
      <c r="J126" s="16">
        <f>IFERROR(__xludf.DUMMYFUNCTION("""COMPUTED_VALUE"""),"1 kèm nhiều")</f>
        <v/>
      </c>
      <c r="K126" s="48">
        <f>IFERROR(__xludf.DUMMYFUNCTION("""COMPUTED_VALUE"""),200000)</f>
        <v/>
      </c>
      <c r="L126" s="46" t="n"/>
      <c r="M126" s="15">
        <f>IFERROR(__xludf.DUMMYFUNCTION("""COMPUTED_VALUE"""),"")</f>
        <v/>
      </c>
      <c r="N126" s="22" t="n"/>
      <c r="O126" s="22" t="n"/>
      <c r="P126" s="22" t="n"/>
      <c r="Q126" s="22" t="n"/>
      <c r="R126" s="22" t="n"/>
    </row>
    <row r="127">
      <c r="A127" s="7">
        <f>IFERROR(__xludf.DUMMYFUNCTION("""COMPUTED_VALUE"""),124)</f>
        <v/>
      </c>
      <c r="B127" s="8">
        <f>IFERROR(__xludf.DUMMYFUNCTION("""COMPUTED_VALUE"""),"Unity")</f>
        <v/>
      </c>
      <c r="C127" s="51">
        <f>IFERROR(__xludf.DUMMYFUNCTION("""COMPUTED_VALUE"""),"PT Basic Course")</f>
        <v/>
      </c>
      <c r="D127" s="8">
        <f>IFERROR(__xludf.DUMMYFUNCTION("""COMPUTED_VALUE"""),"PTBC")</f>
        <v/>
      </c>
      <c r="E127" s="8">
        <f>IFERROR(__xludf.DUMMYFUNCTION("""COMPUTED_VALUE"""),"PTBC")</f>
        <v/>
      </c>
      <c r="F127" s="15">
        <f>IFERROR(__xludf.DUMMYFUNCTION("""COMPUTED_VALUE"""),"xx")</f>
        <v/>
      </c>
      <c r="G127" s="8">
        <f>IFERROR(__xludf.DUMMYFUNCTION("""COMPUTED_VALUE"""),"PT")</f>
        <v/>
      </c>
      <c r="H127" s="8">
        <f>IFERROR(__xludf.DUMMYFUNCTION("""COMPUTED_VALUE"""),"PT")</f>
        <v/>
      </c>
      <c r="I127" s="16">
        <f>IFERROR(__xludf.DUMMYFUNCTION("""COMPUTED_VALUE"""),"Buổi tập")</f>
        <v/>
      </c>
      <c r="J127" s="16">
        <f>IFERROR(__xludf.DUMMYFUNCTION("""COMPUTED_VALUE"""),"1 kèm 1")</f>
        <v/>
      </c>
      <c r="K127" s="48">
        <f>IFERROR(__xludf.DUMMYFUNCTION("""COMPUTED_VALUE"""),500000)</f>
        <v/>
      </c>
      <c r="L127" s="46" t="n"/>
      <c r="M127" s="15">
        <f>IFERROR(__xludf.DUMMYFUNCTION("""COMPUTED_VALUE"""),"")</f>
        <v/>
      </c>
      <c r="N127" s="22" t="n"/>
      <c r="O127" s="22" t="n"/>
      <c r="P127" s="22" t="n"/>
      <c r="Q127" s="22" t="n"/>
      <c r="R127" s="22" t="n"/>
    </row>
    <row r="128">
      <c r="A128" s="7">
        <f>IFERROR(__xludf.DUMMYFUNCTION("""COMPUTED_VALUE"""),125)</f>
        <v/>
      </c>
      <c r="B128" s="8">
        <f>IFERROR(__xludf.DUMMYFUNCTION("""COMPUTED_VALUE"""),"Unity")</f>
        <v/>
      </c>
      <c r="C128" s="51">
        <f>IFERROR(__xludf.DUMMYFUNCTION("""COMPUTED_VALUE"""),"Group training")</f>
        <v/>
      </c>
      <c r="D128" s="8">
        <f>IFERROR(__xludf.DUMMYFUNCTION("""COMPUTED_VALUE"""),"GT")</f>
        <v/>
      </c>
      <c r="E128" s="8">
        <f>IFERROR(__xludf.DUMMYFUNCTION("""COMPUTED_VALUE"""),"GT")</f>
        <v/>
      </c>
      <c r="F128" s="15">
        <f>IFERROR(__xludf.DUMMYFUNCTION("""COMPUTED_VALUE"""),"xx")</f>
        <v/>
      </c>
      <c r="G128" s="8">
        <f>IFERROR(__xludf.DUMMYFUNCTION("""COMPUTED_VALUE"""),"PT")</f>
        <v/>
      </c>
      <c r="H128" s="8">
        <f>IFERROR(__xludf.DUMMYFUNCTION("""COMPUTED_VALUE"""),"PT")</f>
        <v/>
      </c>
      <c r="I128" s="16">
        <f>IFERROR(__xludf.DUMMYFUNCTION("""COMPUTED_VALUE"""),"Buổi tập")</f>
        <v/>
      </c>
      <c r="J128" s="16">
        <f>IFERROR(__xludf.DUMMYFUNCTION("""COMPUTED_VALUE"""),"2 kèm 1")</f>
        <v/>
      </c>
      <c r="K128" s="48">
        <f>IFERROR(__xludf.DUMMYFUNCTION("""COMPUTED_VALUE"""),150000)</f>
        <v/>
      </c>
      <c r="L128" s="46" t="n"/>
      <c r="M128" s="15">
        <f>IFERROR(__xludf.DUMMYFUNCTION("""COMPUTED_VALUE"""),"")</f>
        <v/>
      </c>
      <c r="N128" s="22" t="n"/>
      <c r="O128" s="22" t="n"/>
      <c r="P128" s="22" t="n"/>
      <c r="Q128" s="22" t="n"/>
      <c r="R128" s="22" t="n"/>
    </row>
    <row r="129">
      <c r="A129" s="7">
        <f>IFERROR(__xludf.DUMMYFUNCTION("""COMPUTED_VALUE"""),126)</f>
        <v/>
      </c>
      <c r="B129" s="8">
        <f>IFERROR(__xludf.DUMMYFUNCTION("""COMPUTED_VALUE"""),"Unity")</f>
        <v/>
      </c>
      <c r="C129" s="51">
        <f>IFERROR(__xludf.DUMMYFUNCTION("""COMPUTED_VALUE"""),"Chương trình quà tặng tháng 4,5/2023 khi mua UG12 hoặc UG24")</f>
        <v/>
      </c>
      <c r="D129" s="8" t="n"/>
      <c r="E129" s="8">
        <f>IFERROR(__xludf.DUMMYFUNCTION("""COMPUTED_VALUE"""),"PTOP")</f>
        <v/>
      </c>
      <c r="F129" s="15">
        <f>IFERROR(__xludf.DUMMYFUNCTION("""COMPUTED_VALUE"""),"xx")</f>
        <v/>
      </c>
      <c r="G129" s="8">
        <f>IFERROR(__xludf.DUMMYFUNCTION("""COMPUTED_VALUE"""),"Other")</f>
        <v/>
      </c>
      <c r="H129" s="8">
        <f>IFERROR(__xludf.DUMMYFUNCTION("""COMPUTED_VALUE"""),"PT")</f>
        <v/>
      </c>
      <c r="I129" s="16">
        <f>IFERROR(__xludf.DUMMYFUNCTION("""COMPUTED_VALUE"""),"Buổi tập")</f>
        <v/>
      </c>
      <c r="J129" s="16">
        <f>IFERROR(__xludf.DUMMYFUNCTION("""COMPUTED_VALUE"""),"2 kèm 1")</f>
        <v/>
      </c>
      <c r="K129" s="48">
        <f>IFERROR(__xludf.DUMMYFUNCTION("""COMPUTED_VALUE"""),100000)</f>
        <v/>
      </c>
      <c r="L129" s="46" t="n"/>
      <c r="M129" s="15">
        <f>IFERROR(__xludf.DUMMYFUNCTION("""COMPUTED_VALUE"""),"Ngưng SD")</f>
        <v/>
      </c>
      <c r="N129" s="22" t="n"/>
      <c r="O129" s="22" t="n"/>
      <c r="P129" s="22" t="n"/>
      <c r="Q129" s="22" t="n"/>
      <c r="R129" s="22" t="n"/>
    </row>
    <row r="130">
      <c r="A130" s="7">
        <f>IFERROR(__xludf.DUMMYFUNCTION("""COMPUTED_VALUE"""),127)</f>
        <v/>
      </c>
      <c r="B130" s="8">
        <f>IFERROR(__xludf.DUMMYFUNCTION("""COMPUTED_VALUE"""),"Unity")</f>
        <v/>
      </c>
      <c r="C130" s="51">
        <f>IFERROR(__xludf.DUMMYFUNCTION("""COMPUTED_VALUE"""),"Nâng cấp")</f>
        <v/>
      </c>
      <c r="D130" s="8">
        <f>IFERROR(__xludf.DUMMYFUNCTION("""COMPUTED_VALUE"""),"NC")</f>
        <v/>
      </c>
      <c r="E130" s="8">
        <f>IFERROR(__xludf.DUMMYFUNCTION("""COMPUTED_VALUE"""),"NC")</f>
        <v/>
      </c>
      <c r="F130" s="15" t="n"/>
      <c r="G130" s="8">
        <f>IFERROR(__xludf.DUMMYFUNCTION("""COMPUTED_VALUE"""),"MBS")</f>
        <v/>
      </c>
      <c r="H130" s="8">
        <f>IFERROR(__xludf.DUMMYFUNCTION("""COMPUTED_VALUE"""),"MBSNC")</f>
        <v/>
      </c>
      <c r="I130" s="16" t="n"/>
      <c r="J130" s="16" t="n"/>
      <c r="K130" s="48" t="n"/>
      <c r="L130" s="46" t="n"/>
      <c r="M130" s="15">
        <f>IFERROR(__xludf.DUMMYFUNCTION("""COMPUTED_VALUE"""),"")</f>
        <v/>
      </c>
      <c r="N130" s="22" t="n"/>
      <c r="O130" s="22" t="n"/>
      <c r="P130" s="22" t="n"/>
      <c r="Q130" s="22" t="n"/>
      <c r="R130" s="22" t="n"/>
    </row>
    <row r="131">
      <c r="A131" s="7">
        <f>IFERROR(__xludf.DUMMYFUNCTION("""COMPUTED_VALUE"""),128)</f>
        <v/>
      </c>
      <c r="B131" s="8">
        <f>IFERROR(__xludf.DUMMYFUNCTION("""COMPUTED_VALUE"""),"Unity")</f>
        <v/>
      </c>
      <c r="C131" s="51">
        <f>IFERROR(__xludf.DUMMYFUNCTION("""COMPUTED_VALUE"""),"Chuyển Nhượng")</f>
        <v/>
      </c>
      <c r="D131" s="8">
        <f>IFERROR(__xludf.DUMMYFUNCTION("""COMPUTED_VALUE"""),"CN")</f>
        <v/>
      </c>
      <c r="E131" s="8">
        <f>IFERROR(__xludf.DUMMYFUNCTION("""COMPUTED_VALUE"""),"CN")</f>
        <v/>
      </c>
      <c r="F131" s="15">
        <f>IFERROR(__xludf.DUMMYFUNCTION("""COMPUTED_VALUE"""),"xxx")</f>
        <v/>
      </c>
      <c r="G131" s="8">
        <f>IFERROR(__xludf.DUMMYFUNCTION("""COMPUTED_VALUE"""),"Other")</f>
        <v/>
      </c>
      <c r="H131" s="8">
        <f>IFERROR(__xludf.DUMMYFUNCTION("""COMPUTED_VALUE"""),"Other")</f>
        <v/>
      </c>
      <c r="I131" s="16">
        <f>IFERROR(__xludf.DUMMYFUNCTION("""COMPUTED_VALUE"""),"1 lần")</f>
        <v/>
      </c>
      <c r="J131" s="16">
        <f>IFERROR(__xludf.DUMMYFUNCTION("""COMPUTED_VALUE"""),"1 lần")</f>
        <v/>
      </c>
      <c r="K131" s="48">
        <f>IFERROR(__xludf.DUMMYFUNCTION("""COMPUTED_VALUE"""),500000)</f>
        <v/>
      </c>
      <c r="L131" s="46" t="n"/>
      <c r="M131" s="15">
        <f>IFERROR(__xludf.DUMMYFUNCTION("""COMPUTED_VALUE"""),"")</f>
        <v/>
      </c>
      <c r="N131" s="22" t="n"/>
      <c r="O131" s="22" t="n"/>
      <c r="P131" s="22" t="n"/>
      <c r="Q131" s="22" t="n"/>
      <c r="R131" s="22" t="n"/>
    </row>
    <row r="132">
      <c r="A132" s="7">
        <f>IFERROR(__xludf.DUMMYFUNCTION("""COMPUTED_VALUE"""),129)</f>
        <v/>
      </c>
      <c r="B132" s="8">
        <f>IFERROR(__xludf.DUMMYFUNCTION("""COMPUTED_VALUE"""),"Unity")</f>
        <v/>
      </c>
      <c r="C132" s="51">
        <f>IFERROR(__xludf.DUMMYFUNCTION("""COMPUTED_VALUE"""),"Chuyển Nhượng PT")</f>
        <v/>
      </c>
      <c r="D132" s="8">
        <f>IFERROR(__xludf.DUMMYFUNCTION("""COMPUTED_VALUE"""),"CNPT")</f>
        <v/>
      </c>
      <c r="E132" s="8">
        <f>IFERROR(__xludf.DUMMYFUNCTION("""COMPUTED_VALUE"""),"CNPT")</f>
        <v/>
      </c>
      <c r="F132" s="15">
        <f>IFERROR(__xludf.DUMMYFUNCTION("""COMPUTED_VALUE"""),"xxx")</f>
        <v/>
      </c>
      <c r="G132" s="8">
        <f>IFERROR(__xludf.DUMMYFUNCTION("""COMPUTED_VALUE"""),"Other")</f>
        <v/>
      </c>
      <c r="H132" s="8">
        <f>IFERROR(__xludf.DUMMYFUNCTION("""COMPUTED_VALUE"""),"Other")</f>
        <v/>
      </c>
      <c r="I132" s="16">
        <f>IFERROR(__xludf.DUMMYFUNCTION("""COMPUTED_VALUE"""),"1 lần")</f>
        <v/>
      </c>
      <c r="J132" s="16">
        <f>IFERROR(__xludf.DUMMYFUNCTION("""COMPUTED_VALUE"""),"1 lần")</f>
        <v/>
      </c>
      <c r="K132" s="48">
        <f>IFERROR(__xludf.DUMMYFUNCTION("""COMPUTED_VALUE"""),500000)</f>
        <v/>
      </c>
      <c r="L132" s="46" t="n"/>
      <c r="M132" s="15">
        <f>IFERROR(__xludf.DUMMYFUNCTION("""COMPUTED_VALUE"""),"")</f>
        <v/>
      </c>
      <c r="N132" s="22" t="n"/>
      <c r="O132" s="22" t="n"/>
      <c r="P132" s="22" t="n"/>
      <c r="Q132" s="22" t="n"/>
      <c r="R132" s="22" t="n"/>
    </row>
    <row r="133">
      <c r="A133" s="7">
        <f>IFERROR(__xludf.DUMMYFUNCTION("""COMPUTED_VALUE"""),130)</f>
        <v/>
      </c>
      <c r="B133" s="8">
        <f>IFERROR(__xludf.DUMMYFUNCTION("""COMPUTED_VALUE"""),"Unity")</f>
        <v/>
      </c>
      <c r="C133" s="51">
        <f>IFERROR(__xludf.DUMMYFUNCTION("""COMPUTED_VALUE"""),"Chuyển Nhượng")</f>
        <v/>
      </c>
      <c r="D133" s="8">
        <f>IFERROR(__xludf.DUMMYFUNCTION("""COMPUTED_VALUE"""),"CN1")</f>
        <v/>
      </c>
      <c r="E133" s="8">
        <f>IFERROR(__xludf.DUMMYFUNCTION("""COMPUTED_VALUE"""),"CN1")</f>
        <v/>
      </c>
      <c r="F133" s="15">
        <f>IFERROR(__xludf.DUMMYFUNCTION("""COMPUTED_VALUE"""),"xxx")</f>
        <v/>
      </c>
      <c r="G133" s="8">
        <f>IFERROR(__xludf.DUMMYFUNCTION("""COMPUTED_VALUE"""),"Other")</f>
        <v/>
      </c>
      <c r="H133" s="8">
        <f>IFERROR(__xludf.DUMMYFUNCTION("""COMPUTED_VALUE"""),"Other")</f>
        <v/>
      </c>
      <c r="I133" s="16">
        <f>IFERROR(__xludf.DUMMYFUNCTION("""COMPUTED_VALUE"""),"1 lần")</f>
        <v/>
      </c>
      <c r="J133" s="16">
        <f>IFERROR(__xludf.DUMMYFUNCTION("""COMPUTED_VALUE"""),"1 lần")</f>
        <v/>
      </c>
      <c r="K133" s="48">
        <f>IFERROR(__xludf.DUMMYFUNCTION("""COMPUTED_VALUE"""),1000000)</f>
        <v/>
      </c>
      <c r="L133" s="46" t="n"/>
      <c r="M133" s="15">
        <f>IFERROR(__xludf.DUMMYFUNCTION("""COMPUTED_VALUE"""),"Đổi phí CN ngày 01/09/2024")</f>
        <v/>
      </c>
      <c r="N133" s="22" t="n"/>
      <c r="O133" s="22" t="n"/>
      <c r="P133" s="22" t="n"/>
      <c r="Q133" s="22" t="n"/>
      <c r="R133" s="22" t="n"/>
    </row>
    <row r="134">
      <c r="A134" s="7">
        <f>IFERROR(__xludf.DUMMYFUNCTION("""COMPUTED_VALUE"""),131)</f>
        <v/>
      </c>
      <c r="B134" s="8">
        <f>IFERROR(__xludf.DUMMYFUNCTION("""COMPUTED_VALUE"""),"Unity")</f>
        <v/>
      </c>
      <c r="C134" s="51">
        <f>IFERROR(__xludf.DUMMYFUNCTION("""COMPUTED_VALUE"""),"Chuyển Nhượng PT")</f>
        <v/>
      </c>
      <c r="D134" s="8">
        <f>IFERROR(__xludf.DUMMYFUNCTION("""COMPUTED_VALUE"""),"CNPT1")</f>
        <v/>
      </c>
      <c r="E134" s="8">
        <f>IFERROR(__xludf.DUMMYFUNCTION("""COMPUTED_VALUE"""),"CNPT1")</f>
        <v/>
      </c>
      <c r="F134" s="15">
        <f>IFERROR(__xludf.DUMMYFUNCTION("""COMPUTED_VALUE"""),"xxx")</f>
        <v/>
      </c>
      <c r="G134" s="8">
        <f>IFERROR(__xludf.DUMMYFUNCTION("""COMPUTED_VALUE"""),"Other")</f>
        <v/>
      </c>
      <c r="H134" s="8">
        <f>IFERROR(__xludf.DUMMYFUNCTION("""COMPUTED_VALUE"""),"Other")</f>
        <v/>
      </c>
      <c r="I134" s="16">
        <f>IFERROR(__xludf.DUMMYFUNCTION("""COMPUTED_VALUE"""),"1 lần")</f>
        <v/>
      </c>
      <c r="J134" s="16">
        <f>IFERROR(__xludf.DUMMYFUNCTION("""COMPUTED_VALUE"""),"1 lần")</f>
        <v/>
      </c>
      <c r="K134" s="48">
        <f>IFERROR(__xludf.DUMMYFUNCTION("""COMPUTED_VALUE"""),1000000)</f>
        <v/>
      </c>
      <c r="L134" s="46" t="n"/>
      <c r="M134" s="15">
        <f>IFERROR(__xludf.DUMMYFUNCTION("""COMPUTED_VALUE"""),"Đổi phí CN ngày 01/09/2024")</f>
        <v/>
      </c>
      <c r="N134" s="22" t="n"/>
      <c r="O134" s="22" t="n"/>
      <c r="P134" s="22" t="n"/>
      <c r="Q134" s="22" t="n"/>
      <c r="R134" s="22" t="n"/>
    </row>
    <row r="135">
      <c r="A135" s="7">
        <f>IFERROR(__xludf.DUMMYFUNCTION("""COMPUTED_VALUE"""),132)</f>
        <v/>
      </c>
      <c r="B135" s="8">
        <f>IFERROR(__xludf.DUMMYFUNCTION("""COMPUTED_VALUE"""),"Unity")</f>
        <v/>
      </c>
      <c r="C135" s="51">
        <f>IFERROR(__xludf.DUMMYFUNCTION("""COMPUTED_VALUE"""),"Phí Bảo lưu")</f>
        <v/>
      </c>
      <c r="D135" s="8">
        <f>IFERROR(__xludf.DUMMYFUNCTION("""COMPUTED_VALUE"""),"BL")</f>
        <v/>
      </c>
      <c r="E135" s="8">
        <f>IFERROR(__xludf.DUMMYFUNCTION("""COMPUTED_VALUE"""),"BL")</f>
        <v/>
      </c>
      <c r="F135" s="15">
        <f>IFERROR(__xludf.DUMMYFUNCTION("""COMPUTED_VALUE"""),"xxx")</f>
        <v/>
      </c>
      <c r="G135" s="8">
        <f>IFERROR(__xludf.DUMMYFUNCTION("""COMPUTED_VALUE"""),"Other")</f>
        <v/>
      </c>
      <c r="H135" s="8">
        <f>IFERROR(__xludf.DUMMYFUNCTION("""COMPUTED_VALUE"""),"Other")</f>
        <v/>
      </c>
      <c r="I135" s="16">
        <f>IFERROR(__xludf.DUMMYFUNCTION("""COMPUTED_VALUE"""),"Tháng")</f>
        <v/>
      </c>
      <c r="J135" s="16">
        <f>IFERROR(__xludf.DUMMYFUNCTION("""COMPUTED_VALUE"""),"1 tháng")</f>
        <v/>
      </c>
      <c r="K135" s="48">
        <f>IFERROR(__xludf.DUMMYFUNCTION("""COMPUTED_VALUE"""),200000)</f>
        <v/>
      </c>
      <c r="L135" s="46" t="n"/>
      <c r="M135" s="15">
        <f>IFERROR(__xludf.DUMMYFUNCTION("""COMPUTED_VALUE"""),"")</f>
        <v/>
      </c>
      <c r="N135" s="22" t="n"/>
      <c r="O135" s="22" t="n"/>
      <c r="P135" s="22" t="n"/>
      <c r="Q135" s="22" t="n"/>
      <c r="R135" s="22" t="n"/>
    </row>
    <row r="136">
      <c r="A136" s="7">
        <f>IFERROR(__xludf.DUMMYFUNCTION("""COMPUTED_VALUE"""),133)</f>
        <v/>
      </c>
      <c r="B136" s="8">
        <f>IFERROR(__xludf.DUMMYFUNCTION("""COMPUTED_VALUE"""),"Unity")</f>
        <v/>
      </c>
      <c r="C136" s="51">
        <f>IFERROR(__xludf.DUMMYFUNCTION("""COMPUTED_VALUE"""),"Cộng thêm tháng cho khách hàng")</f>
        <v/>
      </c>
      <c r="D136" s="8" t="n"/>
      <c r="E136" s="8">
        <f>IFERROR(__xludf.DUMMYFUNCTION("""COMPUTED_VALUE"""),"CT")</f>
        <v/>
      </c>
      <c r="F136" s="15" t="n"/>
      <c r="G136" s="8">
        <f>IFERROR(__xludf.DUMMYFUNCTION("""COMPUTED_VALUE"""),"Other")</f>
        <v/>
      </c>
      <c r="H136" s="8">
        <f>IFERROR(__xludf.DUMMYFUNCTION("""COMPUTED_VALUE"""),"Other")</f>
        <v/>
      </c>
      <c r="I136" s="16">
        <f>IFERROR(__xludf.DUMMYFUNCTION("""COMPUTED_VALUE"""),"Tháng")</f>
        <v/>
      </c>
      <c r="J136" s="16">
        <f>IFERROR(__xludf.DUMMYFUNCTION("""COMPUTED_VALUE"""),"Do QL")</f>
        <v/>
      </c>
      <c r="K136" s="48" t="n"/>
      <c r="L136" s="46" t="n"/>
      <c r="M136" s="15">
        <f>IFERROR(__xludf.DUMMYFUNCTION("""COMPUTED_VALUE"""),"Ngưng SD")</f>
        <v/>
      </c>
      <c r="N136" s="22" t="n"/>
      <c r="O136" s="22" t="n"/>
      <c r="P136" s="22" t="n"/>
      <c r="Q136" s="22" t="n"/>
      <c r="R136" s="22" t="n"/>
    </row>
    <row r="137">
      <c r="A137" s="7">
        <f>IFERROR(__xludf.DUMMYFUNCTION("""COMPUTED_VALUE"""),134)</f>
        <v/>
      </c>
      <c r="B137" s="8">
        <f>IFERROR(__xludf.DUMMYFUNCTION("""COMPUTED_VALUE"""),"Unity")</f>
        <v/>
      </c>
      <c r="C137" s="51">
        <f>IFERROR(__xludf.DUMMYFUNCTION("""COMPUTED_VALUE"""),"Miễn phí Bảo lưu lần đầu 3 tháng")</f>
        <v/>
      </c>
      <c r="D137" s="8">
        <f>IFERROR(__xludf.DUMMYFUNCTION("""COMPUTED_VALUE"""),"BLMP")</f>
        <v/>
      </c>
      <c r="E137" s="8">
        <f>IFERROR(__xludf.DUMMYFUNCTION("""COMPUTED_VALUE"""),"BLMP")</f>
        <v/>
      </c>
      <c r="F137" s="15" t="n"/>
      <c r="G137" s="8">
        <f>IFERROR(__xludf.DUMMYFUNCTION("""COMPUTED_VALUE"""),"Other")</f>
        <v/>
      </c>
      <c r="H137" s="8">
        <f>IFERROR(__xludf.DUMMYFUNCTION("""COMPUTED_VALUE"""),"Other")</f>
        <v/>
      </c>
      <c r="I137" s="16">
        <f>IFERROR(__xludf.DUMMYFUNCTION("""COMPUTED_VALUE"""),"Tháng")</f>
        <v/>
      </c>
      <c r="J137" s="16">
        <f>IFERROR(__xludf.DUMMYFUNCTION("""COMPUTED_VALUE"""),"tối đa 3 tháng 1 lần đầu tiên")</f>
        <v/>
      </c>
      <c r="K137" s="48" t="n"/>
      <c r="L137" s="46" t="n"/>
      <c r="M137" s="15">
        <f>IFERROR(__xludf.DUMMYFUNCTION("""COMPUTED_VALUE"""),"")</f>
        <v/>
      </c>
      <c r="N137" s="22" t="n"/>
      <c r="O137" s="22" t="n"/>
      <c r="P137" s="22" t="n"/>
      <c r="Q137" s="22" t="n"/>
      <c r="R137" s="22" t="n"/>
    </row>
    <row r="138">
      <c r="A138" s="7">
        <f>IFERROR(__xludf.DUMMYFUNCTION("""COMPUTED_VALUE"""),135)</f>
        <v/>
      </c>
      <c r="B138" s="8">
        <f>IFERROR(__xludf.DUMMYFUNCTION("""COMPUTED_VALUE"""),"Unity")</f>
        <v/>
      </c>
      <c r="C138" s="51">
        <f>IFERROR(__xludf.DUMMYFUNCTION("""COMPUTED_VALUE"""),"Đặt cọc MBS")</f>
        <v/>
      </c>
      <c r="D138" s="8">
        <f>IFERROR(__xludf.DUMMYFUNCTION("""COMPUTED_VALUE"""),"Đặt cọc MBS")</f>
        <v/>
      </c>
      <c r="E138" s="8">
        <f>IFERROR(__xludf.DUMMYFUNCTION("""COMPUTED_VALUE"""),"Đặt cọc MBS")</f>
        <v/>
      </c>
      <c r="F138" s="15">
        <f>IFERROR(__xludf.DUMMYFUNCTION("""COMPUTED_VALUE"""),"xxx")</f>
        <v/>
      </c>
      <c r="G138" s="8">
        <f>IFERROR(__xludf.DUMMYFUNCTION("""COMPUTED_VALUE"""),"MBS")</f>
        <v/>
      </c>
      <c r="H138" s="8">
        <f>IFERROR(__xludf.DUMMYFUNCTION("""COMPUTED_VALUE"""),"MBSĐC")</f>
        <v/>
      </c>
      <c r="I138" s="16" t="n"/>
      <c r="J138" s="16" t="n"/>
      <c r="K138" s="48" t="n"/>
      <c r="L138" s="46" t="n"/>
      <c r="M138" s="15">
        <f>IFERROR(__xludf.DUMMYFUNCTION("""COMPUTED_VALUE"""),"")</f>
        <v/>
      </c>
      <c r="N138" s="22" t="n"/>
      <c r="O138" s="22" t="n"/>
      <c r="P138" s="22" t="n"/>
      <c r="Q138" s="22" t="n"/>
      <c r="R138" s="22" t="n"/>
    </row>
    <row r="139">
      <c r="A139" s="7">
        <f>IFERROR(__xludf.DUMMYFUNCTION("""COMPUTED_VALUE"""),136)</f>
        <v/>
      </c>
      <c r="B139" s="8">
        <f>IFERROR(__xludf.DUMMYFUNCTION("""COMPUTED_VALUE"""),"Unity")</f>
        <v/>
      </c>
      <c r="C139" s="51">
        <f>IFERROR(__xludf.DUMMYFUNCTION("""COMPUTED_VALUE"""),"Đặt cọc PT")</f>
        <v/>
      </c>
      <c r="D139" s="8">
        <f>IFERROR(__xludf.DUMMYFUNCTION("""COMPUTED_VALUE"""),"Đặt cọc Dailyx")</f>
        <v/>
      </c>
      <c r="E139" s="8">
        <f>IFERROR(__xludf.DUMMYFUNCTION("""COMPUTED_VALUE"""),"Đặt cọc Dailyx")</f>
        <v/>
      </c>
      <c r="F139" s="15">
        <f>IFERROR(__xludf.DUMMYFUNCTION("""COMPUTED_VALUE"""),"xx")</f>
        <v/>
      </c>
      <c r="G139" s="8">
        <f>IFERROR(__xludf.DUMMYFUNCTION("""COMPUTED_VALUE"""),"PT")</f>
        <v/>
      </c>
      <c r="H139" s="8">
        <f>IFERROR(__xludf.DUMMYFUNCTION("""COMPUTED_VALUE"""),"PTĐC")</f>
        <v/>
      </c>
      <c r="I139" s="16" t="n"/>
      <c r="J139" s="16" t="n"/>
      <c r="K139" s="48" t="n"/>
      <c r="L139" s="46" t="n"/>
      <c r="M139" s="15">
        <f>IFERROR(__xludf.DUMMYFUNCTION("""COMPUTED_VALUE"""),"")</f>
        <v/>
      </c>
      <c r="N139" s="22" t="n"/>
      <c r="O139" s="22" t="n"/>
      <c r="P139" s="22" t="n"/>
      <c r="Q139" s="22" t="n"/>
      <c r="R139" s="22" t="n"/>
    </row>
    <row r="140">
      <c r="A140" s="7">
        <f>IFERROR(__xludf.DUMMYFUNCTION("""COMPUTED_VALUE"""),137)</f>
        <v/>
      </c>
      <c r="B140" s="8">
        <f>IFERROR(__xludf.DUMMYFUNCTION("""COMPUTED_VALUE"""),"Unity")</f>
        <v/>
      </c>
      <c r="C140" s="51">
        <f>IFERROR(__xludf.DUMMYFUNCTION("""COMPUTED_VALUE"""),"Đặt cọc PT")</f>
        <v/>
      </c>
      <c r="D140" s="8">
        <f>IFERROR(__xludf.DUMMYFUNCTION("""COMPUTED_VALUE"""),"Đặt cọc PT")</f>
        <v/>
      </c>
      <c r="E140" s="8">
        <f>IFERROR(__xludf.DUMMYFUNCTION("""COMPUTED_VALUE"""),"Đặt cọc PT")</f>
        <v/>
      </c>
      <c r="F140" s="15">
        <f>IFERROR(__xludf.DUMMYFUNCTION("""COMPUTED_VALUE"""),"xx")</f>
        <v/>
      </c>
      <c r="G140" s="8">
        <f>IFERROR(__xludf.DUMMYFUNCTION("""COMPUTED_VALUE"""),"PT")</f>
        <v/>
      </c>
      <c r="H140" s="8">
        <f>IFERROR(__xludf.DUMMYFUNCTION("""COMPUTED_VALUE"""),"PTĐC")</f>
        <v/>
      </c>
      <c r="I140" s="16" t="n"/>
      <c r="J140" s="16" t="n"/>
      <c r="K140" s="48" t="n"/>
      <c r="L140" s="46" t="n"/>
      <c r="M140" s="15">
        <f>IFERROR(__xludf.DUMMYFUNCTION("""COMPUTED_VALUE"""),"")</f>
        <v/>
      </c>
      <c r="N140" s="22" t="n"/>
      <c r="O140" s="22" t="n"/>
      <c r="P140" s="22" t="n"/>
      <c r="Q140" s="22" t="n"/>
      <c r="R140" s="22" t="n"/>
    </row>
    <row r="141">
      <c r="A141" s="7">
        <f>IFERROR(__xludf.DUMMYFUNCTION("""COMPUTED_VALUE"""),138)</f>
        <v/>
      </c>
      <c r="B141" s="8">
        <f>IFERROR(__xludf.DUMMYFUNCTION("""COMPUTED_VALUE"""),"Unity")</f>
        <v/>
      </c>
      <c r="C141" s="51">
        <f>IFERROR(__xludf.DUMMYFUNCTION("""COMPUTED_VALUE"""),"Đặt cọc PTP")</f>
        <v/>
      </c>
      <c r="D141" s="8">
        <f>IFERROR(__xludf.DUMMYFUNCTION("""COMPUTED_VALUE"""),"Đặt cọc PTP")</f>
        <v/>
      </c>
      <c r="E141" s="8">
        <f>IFERROR(__xludf.DUMMYFUNCTION("""COMPUTED_VALUE"""),"Đặt cọc PTP")</f>
        <v/>
      </c>
      <c r="F141" s="15">
        <f>IFERROR(__xludf.DUMMYFUNCTION("""COMPUTED_VALUE"""),"xx")</f>
        <v/>
      </c>
      <c r="G141" s="8">
        <f>IFERROR(__xludf.DUMMYFUNCTION("""COMPUTED_VALUE"""),"PTP")</f>
        <v/>
      </c>
      <c r="H141" s="8">
        <f>IFERROR(__xludf.DUMMYFUNCTION("""COMPUTED_VALUE"""),"PTPĐC")</f>
        <v/>
      </c>
      <c r="I141" s="16" t="n"/>
      <c r="J141" s="16" t="n"/>
      <c r="K141" s="48" t="n"/>
      <c r="L141" s="46" t="n"/>
      <c r="M141" s="15">
        <f>IFERROR(__xludf.DUMMYFUNCTION("""COMPUTED_VALUE"""),"")</f>
        <v/>
      </c>
      <c r="N141" s="22" t="n"/>
      <c r="O141" s="22" t="n"/>
      <c r="P141" s="22" t="n"/>
      <c r="Q141" s="22" t="n"/>
      <c r="R141" s="22" t="n"/>
    </row>
    <row r="142">
      <c r="A142" s="7">
        <f>IFERROR(__xludf.DUMMYFUNCTION("""COMPUTED_VALUE"""),139)</f>
        <v/>
      </c>
      <c r="B142" s="8">
        <f>IFERROR(__xludf.DUMMYFUNCTION("""COMPUTED_VALUE"""),"Unity")</f>
        <v/>
      </c>
      <c r="C142" s="51">
        <f>IFERROR(__xludf.DUMMYFUNCTION("""COMPUTED_VALUE"""),"Hủy BN")</f>
        <v/>
      </c>
      <c r="D142" s="8">
        <f>IFERROR(__xludf.DUMMYFUNCTION("""COMPUTED_VALUE"""),"Hủy BN")</f>
        <v/>
      </c>
      <c r="E142" s="8">
        <f>IFERROR(__xludf.DUMMYFUNCTION("""COMPUTED_VALUE"""),"Hủy BN")</f>
        <v/>
      </c>
      <c r="F142" s="15" t="n"/>
      <c r="G142" s="8">
        <f>IFERROR(__xludf.DUMMYFUNCTION("""COMPUTED_VALUE"""),"Other")</f>
        <v/>
      </c>
      <c r="H142" s="8">
        <f>IFERROR(__xludf.DUMMYFUNCTION("""COMPUTED_VALUE"""),"Other")</f>
        <v/>
      </c>
      <c r="I142" s="16" t="n"/>
      <c r="J142" s="16" t="n"/>
      <c r="K142" s="48" t="n"/>
      <c r="L142" s="46" t="n"/>
      <c r="M142" s="15">
        <f>IFERROR(__xludf.DUMMYFUNCTION("""COMPUTED_VALUE"""),"")</f>
        <v/>
      </c>
      <c r="N142" s="22" t="n"/>
      <c r="O142" s="22" t="n"/>
      <c r="P142" s="22" t="n"/>
      <c r="Q142" s="22" t="n"/>
      <c r="R142" s="22" t="n"/>
    </row>
    <row r="143">
      <c r="A143" s="7">
        <f>IFERROR(__xludf.DUMMYFUNCTION("""COMPUTED_VALUE"""),140)</f>
        <v/>
      </c>
      <c r="B143" s="8">
        <f>IFERROR(__xludf.DUMMYFUNCTION("""COMPUTED_VALUE"""),"Unity")</f>
        <v/>
      </c>
      <c r="C143" s="51">
        <f>IFERROR(__xludf.DUMMYFUNCTION("""COMPUTED_VALUE"""),"Hủy đặt cọc MBS K hoàn tiền")</f>
        <v/>
      </c>
      <c r="D143" s="8">
        <f>IFERROR(__xludf.DUMMYFUNCTION("""COMPUTED_VALUE"""),"Hủy ĐCMBS")</f>
        <v/>
      </c>
      <c r="E143" s="8">
        <f>IFERROR(__xludf.DUMMYFUNCTION("""COMPUTED_VALUE"""),"Hủy ĐCMBS")</f>
        <v/>
      </c>
      <c r="F143" s="15">
        <f>IFERROR(__xludf.DUMMYFUNCTION("""COMPUTED_VALUE"""),"xxx")</f>
        <v/>
      </c>
      <c r="G143" s="8">
        <f>IFERROR(__xludf.DUMMYFUNCTION("""COMPUTED_VALUE"""),"Other")</f>
        <v/>
      </c>
      <c r="H143" s="8">
        <f>IFERROR(__xludf.DUMMYFUNCTION("""COMPUTED_VALUE"""),"Other")</f>
        <v/>
      </c>
      <c r="I143" s="16" t="n"/>
      <c r="J143" s="16" t="n"/>
      <c r="K143" s="48" t="n"/>
      <c r="L143" s="46" t="n"/>
      <c r="M143" s="15">
        <f>IFERROR(__xludf.DUMMYFUNCTION("""COMPUTED_VALUE"""),"")</f>
        <v/>
      </c>
      <c r="N143" s="22" t="n"/>
      <c r="O143" s="22" t="n"/>
      <c r="P143" s="22" t="n"/>
      <c r="Q143" s="22" t="n"/>
      <c r="R143" s="22" t="n"/>
    </row>
    <row r="144">
      <c r="A144" s="7">
        <f>IFERROR(__xludf.DUMMYFUNCTION("""COMPUTED_VALUE"""),141)</f>
        <v/>
      </c>
      <c r="B144" s="8">
        <f>IFERROR(__xludf.DUMMYFUNCTION("""COMPUTED_VALUE"""),"Unity")</f>
        <v/>
      </c>
      <c r="C144" s="51">
        <f>IFERROR(__xludf.DUMMYFUNCTION("""COMPUTED_VALUE"""),"Hủy đặt cọc PT K hoàn tiền")</f>
        <v/>
      </c>
      <c r="D144" s="8">
        <f>IFERROR(__xludf.DUMMYFUNCTION("""COMPUTED_VALUE"""),"Hủy ĐCPT")</f>
        <v/>
      </c>
      <c r="E144" s="8">
        <f>IFERROR(__xludf.DUMMYFUNCTION("""COMPUTED_VALUE"""),"Hủy ĐCPT")</f>
        <v/>
      </c>
      <c r="F144" s="15">
        <f>IFERROR(__xludf.DUMMYFUNCTION("""COMPUTED_VALUE"""),"xxx")</f>
        <v/>
      </c>
      <c r="G144" s="8">
        <f>IFERROR(__xludf.DUMMYFUNCTION("""COMPUTED_VALUE"""),"Other")</f>
        <v/>
      </c>
      <c r="H144" s="8">
        <f>IFERROR(__xludf.DUMMYFUNCTION("""COMPUTED_VALUE"""),"Other")</f>
        <v/>
      </c>
      <c r="I144" s="16" t="n"/>
      <c r="J144" s="16" t="n"/>
      <c r="K144" s="48" t="n"/>
      <c r="L144" s="46" t="n"/>
      <c r="M144" s="15">
        <f>IFERROR(__xludf.DUMMYFUNCTION("""COMPUTED_VALUE"""),"")</f>
        <v/>
      </c>
      <c r="N144" s="22" t="n"/>
      <c r="O144" s="22" t="n"/>
      <c r="P144" s="22" t="n"/>
      <c r="Q144" s="22" t="n"/>
      <c r="R144" s="22" t="n"/>
    </row>
    <row r="145">
      <c r="A145" s="7">
        <f>IFERROR(__xludf.DUMMYFUNCTION("""COMPUTED_VALUE"""),142)</f>
        <v/>
      </c>
      <c r="B145" s="8">
        <f>IFERROR(__xludf.DUMMYFUNCTION("""COMPUTED_VALUE"""),"Unity")</f>
        <v/>
      </c>
      <c r="C145" s="51">
        <f>IFERROR(__xludf.DUMMYFUNCTION("""COMPUTED_VALUE"""),"Hủy đặt cọc hoàn lại tiền")</f>
        <v/>
      </c>
      <c r="D145" s="8">
        <f>IFERROR(__xludf.DUMMYFUNCTION("""COMPUTED_VALUE"""),"Hủy ĐCHT")</f>
        <v/>
      </c>
      <c r="E145" s="8">
        <f>IFERROR(__xludf.DUMMYFUNCTION("""COMPUTED_VALUE"""),"Hủy ĐCHT")</f>
        <v/>
      </c>
      <c r="F145" s="15" t="n"/>
      <c r="G145" s="8">
        <f>IFERROR(__xludf.DUMMYFUNCTION("""COMPUTED_VALUE"""),"Other")</f>
        <v/>
      </c>
      <c r="H145" s="8">
        <f>IFERROR(__xludf.DUMMYFUNCTION("""COMPUTED_VALUE"""),"Other")</f>
        <v/>
      </c>
      <c r="I145" s="16" t="n"/>
      <c r="J145" s="16" t="n"/>
      <c r="K145" s="48" t="n"/>
      <c r="L145" s="46" t="n"/>
      <c r="M145" s="15">
        <f>IFERROR(__xludf.DUMMYFUNCTION("""COMPUTED_VALUE"""),"")</f>
        <v/>
      </c>
      <c r="N145" s="22" t="n"/>
      <c r="O145" s="22" t="n"/>
      <c r="P145" s="22" t="n"/>
      <c r="Q145" s="22" t="n"/>
      <c r="R145" s="22" t="n"/>
    </row>
    <row r="146">
      <c r="A146" s="7">
        <f>IFERROR(__xludf.DUMMYFUNCTION("""COMPUTED_VALUE"""),143)</f>
        <v/>
      </c>
      <c r="B146" s="8">
        <f>IFERROR(__xludf.DUMMYFUNCTION("""COMPUTED_VALUE"""),"Unity")</f>
        <v/>
      </c>
      <c r="C146" s="51" t="n"/>
      <c r="D146" s="8">
        <f>IFERROR(__xludf.DUMMYFUNCTION("""COMPUTED_VALUE"""),"Voucher15N")</f>
        <v/>
      </c>
      <c r="E146" s="8">
        <f>IFERROR(__xludf.DUMMYFUNCTION("""COMPUTED_VALUE"""),"Voucher15N")</f>
        <v/>
      </c>
      <c r="F146" s="15">
        <f>IFERROR(__xludf.DUMMYFUNCTION("""COMPUTED_VALUE"""),"x")</f>
        <v/>
      </c>
      <c r="G146" s="8">
        <f>IFERROR(__xludf.DUMMYFUNCTION("""COMPUTED_VALUE"""),"VVIP")</f>
        <v/>
      </c>
      <c r="H146" s="8">
        <f>IFERROR(__xludf.DUMMYFUNCTION("""COMPUTED_VALUE"""),"VVIP")</f>
        <v/>
      </c>
      <c r="I146" s="16">
        <f>IFERROR(__xludf.DUMMYFUNCTION("""COMPUTED_VALUE"""),"14 ngày")</f>
        <v/>
      </c>
      <c r="J146" s="16" t="n"/>
      <c r="K146" s="48" t="n"/>
      <c r="L146" s="46" t="n"/>
      <c r="M146" s="15">
        <f>IFERROR(__xludf.DUMMYFUNCTION("""COMPUTED_VALUE"""),"")</f>
        <v/>
      </c>
      <c r="N146" s="22" t="n"/>
      <c r="O146" s="22" t="n"/>
      <c r="P146" s="22" t="n"/>
      <c r="Q146" s="22" t="n"/>
      <c r="R146" s="22" t="n"/>
    </row>
    <row r="147">
      <c r="A147" s="7">
        <f>IFERROR(__xludf.DUMMYFUNCTION("""COMPUTED_VALUE"""),144)</f>
        <v/>
      </c>
      <c r="B147" s="8">
        <f>IFERROR(__xludf.DUMMYFUNCTION("""COMPUTED_VALUE"""),"Unity")</f>
        <v/>
      </c>
      <c r="C147" s="51" t="n"/>
      <c r="D147" s="8">
        <f>IFERROR(__xludf.DUMMYFUNCTION("""COMPUTED_VALUE"""),"Voucher14N")</f>
        <v/>
      </c>
      <c r="E147" s="8">
        <f>IFERROR(__xludf.DUMMYFUNCTION("""COMPUTED_VALUE"""),"Voucher14N")</f>
        <v/>
      </c>
      <c r="F147" s="15">
        <f>IFERROR(__xludf.DUMMYFUNCTION("""COMPUTED_VALUE"""),"x")</f>
        <v/>
      </c>
      <c r="G147" s="8">
        <f>IFERROR(__xludf.DUMMYFUNCTION("""COMPUTED_VALUE"""),"VVIP")</f>
        <v/>
      </c>
      <c r="H147" s="8">
        <f>IFERROR(__xludf.DUMMYFUNCTION("""COMPUTED_VALUE"""),"VVIP")</f>
        <v/>
      </c>
      <c r="I147" s="16">
        <f>IFERROR(__xludf.DUMMYFUNCTION("""COMPUTED_VALUE"""),"14 ngày")</f>
        <v/>
      </c>
      <c r="J147" s="16" t="n"/>
      <c r="K147" s="48" t="n"/>
      <c r="L147" s="46" t="n"/>
      <c r="M147" s="15">
        <f>IFERROR(__xludf.DUMMYFUNCTION("""COMPUTED_VALUE"""),"")</f>
        <v/>
      </c>
      <c r="N147" s="22" t="n"/>
      <c r="O147" s="22" t="n"/>
      <c r="P147" s="22" t="n"/>
      <c r="Q147" s="22" t="n"/>
      <c r="R147" s="22" t="n"/>
    </row>
    <row r="148">
      <c r="A148" s="7">
        <f>IFERROR(__xludf.DUMMYFUNCTION("""COMPUTED_VALUE"""),145)</f>
        <v/>
      </c>
      <c r="B148" s="8">
        <f>IFERROR(__xludf.DUMMYFUNCTION("""COMPUTED_VALUE"""),"Unity")</f>
        <v/>
      </c>
      <c r="C148" s="51" t="n"/>
      <c r="D148" s="8">
        <f>IFERROR(__xludf.DUMMYFUNCTION("""COMPUTED_VALUE"""),"Voucher01")</f>
        <v/>
      </c>
      <c r="E148" s="8">
        <f>IFERROR(__xludf.DUMMYFUNCTION("""COMPUTED_VALUE"""),"Voucher01")</f>
        <v/>
      </c>
      <c r="F148" s="15">
        <f>IFERROR(__xludf.DUMMYFUNCTION("""COMPUTED_VALUE"""),"x")</f>
        <v/>
      </c>
      <c r="G148" s="8">
        <f>IFERROR(__xludf.DUMMYFUNCTION("""COMPUTED_VALUE"""),"VVIP")</f>
        <v/>
      </c>
      <c r="H148" s="8">
        <f>IFERROR(__xludf.DUMMYFUNCTION("""COMPUTED_VALUE"""),"VVIP")</f>
        <v/>
      </c>
      <c r="I148" s="16">
        <f>IFERROR(__xludf.DUMMYFUNCTION("""COMPUTED_VALUE"""),"1 tháng")</f>
        <v/>
      </c>
      <c r="J148" s="16" t="n"/>
      <c r="K148" s="48" t="n"/>
      <c r="L148" s="46" t="n"/>
      <c r="M148" s="15">
        <f>IFERROR(__xludf.DUMMYFUNCTION("""COMPUTED_VALUE"""),"")</f>
        <v/>
      </c>
      <c r="N148" s="22" t="n"/>
      <c r="O148" s="22" t="n"/>
      <c r="P148" s="22" t="n"/>
      <c r="Q148" s="22" t="n"/>
      <c r="R148" s="22" t="n"/>
    </row>
    <row r="149">
      <c r="A149" s="7">
        <f>IFERROR(__xludf.DUMMYFUNCTION("""COMPUTED_VALUE"""),146)</f>
        <v/>
      </c>
      <c r="B149" s="8">
        <f>IFERROR(__xludf.DUMMYFUNCTION("""COMPUTED_VALUE"""),"Unity")</f>
        <v/>
      </c>
      <c r="C149" s="51" t="n"/>
      <c r="D149" s="8" t="n"/>
      <c r="E149" s="8">
        <f>IFERROR(__xludf.DUMMYFUNCTION("""COMPUTED_VALUE"""),"Voucher02")</f>
        <v/>
      </c>
      <c r="F149" s="15">
        <f>IFERROR(__xludf.DUMMYFUNCTION("""COMPUTED_VALUE"""),"x")</f>
        <v/>
      </c>
      <c r="G149" s="8">
        <f>IFERROR(__xludf.DUMMYFUNCTION("""COMPUTED_VALUE"""),"VVIP")</f>
        <v/>
      </c>
      <c r="H149" s="8">
        <f>IFERROR(__xludf.DUMMYFUNCTION("""COMPUTED_VALUE"""),"VVIP")</f>
        <v/>
      </c>
      <c r="I149" s="16">
        <f>IFERROR(__xludf.DUMMYFUNCTION("""COMPUTED_VALUE"""),"2 tháng")</f>
        <v/>
      </c>
      <c r="J149" s="16" t="n"/>
      <c r="K149" s="48" t="n"/>
      <c r="L149" s="46" t="n"/>
      <c r="M149" s="15">
        <f>IFERROR(__xludf.DUMMYFUNCTION("""COMPUTED_VALUE"""),"Ngưng SD")</f>
        <v/>
      </c>
      <c r="N149" s="22" t="n"/>
      <c r="O149" s="22" t="n"/>
      <c r="P149" s="22" t="n"/>
      <c r="Q149" s="22" t="n"/>
      <c r="R149" s="22" t="n"/>
    </row>
    <row r="150">
      <c r="A150" s="7">
        <f>IFERROR(__xludf.DUMMYFUNCTION("""COMPUTED_VALUE"""),147)</f>
        <v/>
      </c>
      <c r="B150" s="8">
        <f>IFERROR(__xludf.DUMMYFUNCTION("""COMPUTED_VALUE"""),"Unity")</f>
        <v/>
      </c>
      <c r="C150" s="51" t="n"/>
      <c r="D150" s="8" t="n"/>
      <c r="E150" s="8">
        <f>IFERROR(__xludf.DUMMYFUNCTION("""COMPUTED_VALUE"""),"Voucher03")</f>
        <v/>
      </c>
      <c r="F150" s="15">
        <f>IFERROR(__xludf.DUMMYFUNCTION("""COMPUTED_VALUE"""),"x")</f>
        <v/>
      </c>
      <c r="G150" s="8">
        <f>IFERROR(__xludf.DUMMYFUNCTION("""COMPUTED_VALUE"""),"VVIP")</f>
        <v/>
      </c>
      <c r="H150" s="8">
        <f>IFERROR(__xludf.DUMMYFUNCTION("""COMPUTED_VALUE"""),"VVIP")</f>
        <v/>
      </c>
      <c r="I150" s="16">
        <f>IFERROR(__xludf.DUMMYFUNCTION("""COMPUTED_VALUE"""),"3 tháng")</f>
        <v/>
      </c>
      <c r="J150" s="16" t="n"/>
      <c r="K150" s="48" t="n"/>
      <c r="L150" s="46" t="n"/>
      <c r="M150" s="15">
        <f>IFERROR(__xludf.DUMMYFUNCTION("""COMPUTED_VALUE"""),"Ngưng SD")</f>
        <v/>
      </c>
      <c r="N150" s="22" t="n"/>
      <c r="O150" s="22" t="n"/>
      <c r="P150" s="22" t="n"/>
      <c r="Q150" s="22" t="n"/>
      <c r="R150" s="22" t="n"/>
    </row>
    <row r="151">
      <c r="A151" s="7">
        <f>IFERROR(__xludf.DUMMYFUNCTION("""COMPUTED_VALUE"""),148)</f>
        <v/>
      </c>
      <c r="B151" s="8">
        <f>IFERROR(__xludf.DUMMYFUNCTION("""COMPUTED_VALUE"""),"Unity")</f>
        <v/>
      </c>
      <c r="C151" s="51" t="n"/>
      <c r="D151" s="8" t="n"/>
      <c r="E151" s="8">
        <f>IFERROR(__xludf.DUMMYFUNCTION("""COMPUTED_VALUE"""),"Voucher04")</f>
        <v/>
      </c>
      <c r="F151" s="15">
        <f>IFERROR(__xludf.DUMMYFUNCTION("""COMPUTED_VALUE"""),"x")</f>
        <v/>
      </c>
      <c r="G151" s="8">
        <f>IFERROR(__xludf.DUMMYFUNCTION("""COMPUTED_VALUE"""),"VVIP")</f>
        <v/>
      </c>
      <c r="H151" s="8">
        <f>IFERROR(__xludf.DUMMYFUNCTION("""COMPUTED_VALUE"""),"VVIP")</f>
        <v/>
      </c>
      <c r="I151" s="16">
        <f>IFERROR(__xludf.DUMMYFUNCTION("""COMPUTED_VALUE"""),"4 tháng")</f>
        <v/>
      </c>
      <c r="J151" s="16" t="n"/>
      <c r="K151" s="48" t="n"/>
      <c r="L151" s="46" t="n"/>
      <c r="M151" s="15">
        <f>IFERROR(__xludf.DUMMYFUNCTION("""COMPUTED_VALUE"""),"Ngưng SD")</f>
        <v/>
      </c>
      <c r="N151" s="22" t="n"/>
      <c r="O151" s="22" t="n"/>
      <c r="P151" s="22" t="n"/>
      <c r="Q151" s="22" t="n"/>
      <c r="R151" s="22" t="n"/>
    </row>
    <row r="152">
      <c r="A152" s="7">
        <f>IFERROR(__xludf.DUMMYFUNCTION("""COMPUTED_VALUE"""),149)</f>
        <v/>
      </c>
      <c r="B152" s="8">
        <f>IFERROR(__xludf.DUMMYFUNCTION("""COMPUTED_VALUE"""),"Unity")</f>
        <v/>
      </c>
      <c r="C152" s="51" t="n"/>
      <c r="D152" s="8" t="n"/>
      <c r="E152" s="8">
        <f>IFERROR(__xludf.DUMMYFUNCTION("""COMPUTED_VALUE"""),"Voucher05")</f>
        <v/>
      </c>
      <c r="F152" s="15">
        <f>IFERROR(__xludf.DUMMYFUNCTION("""COMPUTED_VALUE"""),"x")</f>
        <v/>
      </c>
      <c r="G152" s="8">
        <f>IFERROR(__xludf.DUMMYFUNCTION("""COMPUTED_VALUE"""),"VVIP")</f>
        <v/>
      </c>
      <c r="H152" s="8">
        <f>IFERROR(__xludf.DUMMYFUNCTION("""COMPUTED_VALUE"""),"VVIP")</f>
        <v/>
      </c>
      <c r="I152" s="16">
        <f>IFERROR(__xludf.DUMMYFUNCTION("""COMPUTED_VALUE"""),"5 tháng")</f>
        <v/>
      </c>
      <c r="J152" s="16" t="n"/>
      <c r="K152" s="48" t="n"/>
      <c r="L152" s="46" t="n"/>
      <c r="M152" s="15">
        <f>IFERROR(__xludf.DUMMYFUNCTION("""COMPUTED_VALUE"""),"Ngưng SD")</f>
        <v/>
      </c>
      <c r="N152" s="22" t="n"/>
      <c r="O152" s="22" t="n"/>
      <c r="P152" s="22" t="n"/>
      <c r="Q152" s="22" t="n"/>
      <c r="R152" s="22" t="n"/>
    </row>
    <row r="153">
      <c r="A153" s="7">
        <f>IFERROR(__xludf.DUMMYFUNCTION("""COMPUTED_VALUE"""),150)</f>
        <v/>
      </c>
      <c r="B153" s="8">
        <f>IFERROR(__xludf.DUMMYFUNCTION("""COMPUTED_VALUE"""),"Unity")</f>
        <v/>
      </c>
      <c r="C153" s="51" t="n"/>
      <c r="D153" s="8" t="n"/>
      <c r="E153" s="8">
        <f>IFERROR(__xludf.DUMMYFUNCTION("""COMPUTED_VALUE"""),"Voucher06")</f>
        <v/>
      </c>
      <c r="F153" s="15">
        <f>IFERROR(__xludf.DUMMYFUNCTION("""COMPUTED_VALUE"""),"x")</f>
        <v/>
      </c>
      <c r="G153" s="8">
        <f>IFERROR(__xludf.DUMMYFUNCTION("""COMPUTED_VALUE"""),"VVIP")</f>
        <v/>
      </c>
      <c r="H153" s="8">
        <f>IFERROR(__xludf.DUMMYFUNCTION("""COMPUTED_VALUE"""),"VVIP")</f>
        <v/>
      </c>
      <c r="I153" s="16">
        <f>IFERROR(__xludf.DUMMYFUNCTION("""COMPUTED_VALUE"""),"6 tháng")</f>
        <v/>
      </c>
      <c r="J153" s="16" t="n"/>
      <c r="K153" s="48" t="n"/>
      <c r="L153" s="46" t="n"/>
      <c r="M153" s="15">
        <f>IFERROR(__xludf.DUMMYFUNCTION("""COMPUTED_VALUE"""),"Ngưng SD")</f>
        <v/>
      </c>
      <c r="N153" s="22" t="n"/>
      <c r="O153" s="22" t="n"/>
      <c r="P153" s="22" t="n"/>
      <c r="Q153" s="22" t="n"/>
      <c r="R153" s="22" t="n"/>
    </row>
    <row r="154">
      <c r="A154" s="7">
        <f>IFERROR(__xludf.DUMMYFUNCTION("""COMPUTED_VALUE"""),151)</f>
        <v/>
      </c>
      <c r="B154" s="8">
        <f>IFERROR(__xludf.DUMMYFUNCTION("""COMPUTED_VALUE"""),"Unity")</f>
        <v/>
      </c>
      <c r="C154" s="51" t="n"/>
      <c r="D154" s="8" t="n"/>
      <c r="E154" s="8">
        <f>IFERROR(__xludf.DUMMYFUNCTION("""COMPUTED_VALUE"""),"Voucher07")</f>
        <v/>
      </c>
      <c r="F154" s="15">
        <f>IFERROR(__xludf.DUMMYFUNCTION("""COMPUTED_VALUE"""),"x")</f>
        <v/>
      </c>
      <c r="G154" s="8">
        <f>IFERROR(__xludf.DUMMYFUNCTION("""COMPUTED_VALUE"""),"VVIP")</f>
        <v/>
      </c>
      <c r="H154" s="8">
        <f>IFERROR(__xludf.DUMMYFUNCTION("""COMPUTED_VALUE"""),"VVIP")</f>
        <v/>
      </c>
      <c r="I154" s="16">
        <f>IFERROR(__xludf.DUMMYFUNCTION("""COMPUTED_VALUE"""),"7 tháng")</f>
        <v/>
      </c>
      <c r="J154" s="16" t="n"/>
      <c r="K154" s="48" t="n"/>
      <c r="L154" s="46" t="n"/>
      <c r="M154" s="15">
        <f>IFERROR(__xludf.DUMMYFUNCTION("""COMPUTED_VALUE"""),"Ngưng SD")</f>
        <v/>
      </c>
      <c r="N154" s="22" t="n"/>
      <c r="O154" s="22" t="n"/>
      <c r="P154" s="22" t="n"/>
      <c r="Q154" s="22" t="n"/>
      <c r="R154" s="22" t="n"/>
    </row>
    <row r="155">
      <c r="A155" s="7">
        <f>IFERROR(__xludf.DUMMYFUNCTION("""COMPUTED_VALUE"""),152)</f>
        <v/>
      </c>
      <c r="B155" s="8">
        <f>IFERROR(__xludf.DUMMYFUNCTION("""COMPUTED_VALUE"""),"Unity")</f>
        <v/>
      </c>
      <c r="C155" s="51" t="n"/>
      <c r="D155" s="8" t="n"/>
      <c r="E155" s="8">
        <f>IFERROR(__xludf.DUMMYFUNCTION("""COMPUTED_VALUE"""),"Voucher08")</f>
        <v/>
      </c>
      <c r="F155" s="15">
        <f>IFERROR(__xludf.DUMMYFUNCTION("""COMPUTED_VALUE"""),"x")</f>
        <v/>
      </c>
      <c r="G155" s="8">
        <f>IFERROR(__xludf.DUMMYFUNCTION("""COMPUTED_VALUE"""),"VVIP")</f>
        <v/>
      </c>
      <c r="H155" s="8">
        <f>IFERROR(__xludf.DUMMYFUNCTION("""COMPUTED_VALUE"""),"VVIP")</f>
        <v/>
      </c>
      <c r="I155" s="16">
        <f>IFERROR(__xludf.DUMMYFUNCTION("""COMPUTED_VALUE"""),"8 tháng")</f>
        <v/>
      </c>
      <c r="J155" s="16" t="n"/>
      <c r="K155" s="48" t="n"/>
      <c r="L155" s="46" t="n"/>
      <c r="M155" s="15">
        <f>IFERROR(__xludf.DUMMYFUNCTION("""COMPUTED_VALUE"""),"Ngưng SD")</f>
        <v/>
      </c>
      <c r="N155" s="22" t="n"/>
      <c r="O155" s="22" t="n"/>
      <c r="P155" s="22" t="n"/>
      <c r="Q155" s="22" t="n"/>
      <c r="R155" s="22" t="n"/>
    </row>
    <row r="156">
      <c r="A156" s="7">
        <f>IFERROR(__xludf.DUMMYFUNCTION("""COMPUTED_VALUE"""),153)</f>
        <v/>
      </c>
      <c r="B156" s="8">
        <f>IFERROR(__xludf.DUMMYFUNCTION("""COMPUTED_VALUE"""),"Unity")</f>
        <v/>
      </c>
      <c r="C156" s="51" t="n"/>
      <c r="D156" s="8" t="n"/>
      <c r="E156" s="8">
        <f>IFERROR(__xludf.DUMMYFUNCTION("""COMPUTED_VALUE"""),"Voucher09")</f>
        <v/>
      </c>
      <c r="F156" s="15">
        <f>IFERROR(__xludf.DUMMYFUNCTION("""COMPUTED_VALUE"""),"x")</f>
        <v/>
      </c>
      <c r="G156" s="8">
        <f>IFERROR(__xludf.DUMMYFUNCTION("""COMPUTED_VALUE"""),"VVIP")</f>
        <v/>
      </c>
      <c r="H156" s="8">
        <f>IFERROR(__xludf.DUMMYFUNCTION("""COMPUTED_VALUE"""),"VVIP")</f>
        <v/>
      </c>
      <c r="I156" s="16">
        <f>IFERROR(__xludf.DUMMYFUNCTION("""COMPUTED_VALUE"""),"9 tháng")</f>
        <v/>
      </c>
      <c r="J156" s="16" t="n"/>
      <c r="K156" s="48" t="n"/>
      <c r="L156" s="46" t="n"/>
      <c r="M156" s="15">
        <f>IFERROR(__xludf.DUMMYFUNCTION("""COMPUTED_VALUE"""),"Ngưng SD")</f>
        <v/>
      </c>
      <c r="N156" s="22" t="n"/>
      <c r="O156" s="22" t="n"/>
      <c r="P156" s="22" t="n"/>
      <c r="Q156" s="22" t="n"/>
      <c r="R156" s="22" t="n"/>
    </row>
    <row r="157">
      <c r="A157" s="7">
        <f>IFERROR(__xludf.DUMMYFUNCTION("""COMPUTED_VALUE"""),154)</f>
        <v/>
      </c>
      <c r="B157" s="8">
        <f>IFERROR(__xludf.DUMMYFUNCTION("""COMPUTED_VALUE"""),"Unity")</f>
        <v/>
      </c>
      <c r="C157" s="51" t="n"/>
      <c r="D157" s="8" t="n"/>
      <c r="E157" s="8">
        <f>IFERROR(__xludf.DUMMYFUNCTION("""COMPUTED_VALUE"""),"Voucher10")</f>
        <v/>
      </c>
      <c r="F157" s="15">
        <f>IFERROR(__xludf.DUMMYFUNCTION("""COMPUTED_VALUE"""),"x")</f>
        <v/>
      </c>
      <c r="G157" s="8">
        <f>IFERROR(__xludf.DUMMYFUNCTION("""COMPUTED_VALUE"""),"VVIP")</f>
        <v/>
      </c>
      <c r="H157" s="8">
        <f>IFERROR(__xludf.DUMMYFUNCTION("""COMPUTED_VALUE"""),"VVIP")</f>
        <v/>
      </c>
      <c r="I157" s="16">
        <f>IFERROR(__xludf.DUMMYFUNCTION("""COMPUTED_VALUE"""),"10 tháng")</f>
        <v/>
      </c>
      <c r="J157" s="16" t="n"/>
      <c r="K157" s="48" t="n"/>
      <c r="L157" s="46" t="n"/>
      <c r="M157" s="15">
        <f>IFERROR(__xludf.DUMMYFUNCTION("""COMPUTED_VALUE"""),"Ngưng SD")</f>
        <v/>
      </c>
      <c r="N157" s="22" t="n"/>
      <c r="O157" s="22" t="n"/>
      <c r="P157" s="22" t="n"/>
      <c r="Q157" s="22" t="n"/>
      <c r="R157" s="22" t="n"/>
    </row>
    <row r="158">
      <c r="A158" s="7">
        <f>IFERROR(__xludf.DUMMYFUNCTION("""COMPUTED_VALUE"""),155)</f>
        <v/>
      </c>
      <c r="B158" s="8">
        <f>IFERROR(__xludf.DUMMYFUNCTION("""COMPUTED_VALUE"""),"Unity")</f>
        <v/>
      </c>
      <c r="C158" s="51" t="n"/>
      <c r="D158" s="8" t="n"/>
      <c r="E158" s="8">
        <f>IFERROR(__xludf.DUMMYFUNCTION("""COMPUTED_VALUE"""),"Voucher11")</f>
        <v/>
      </c>
      <c r="F158" s="15">
        <f>IFERROR(__xludf.DUMMYFUNCTION("""COMPUTED_VALUE"""),"x")</f>
        <v/>
      </c>
      <c r="G158" s="8">
        <f>IFERROR(__xludf.DUMMYFUNCTION("""COMPUTED_VALUE"""),"VVIP")</f>
        <v/>
      </c>
      <c r="H158" s="8">
        <f>IFERROR(__xludf.DUMMYFUNCTION("""COMPUTED_VALUE"""),"VVIP")</f>
        <v/>
      </c>
      <c r="I158" s="16">
        <f>IFERROR(__xludf.DUMMYFUNCTION("""COMPUTED_VALUE"""),"11 tháng")</f>
        <v/>
      </c>
      <c r="J158" s="16" t="n"/>
      <c r="K158" s="48" t="n"/>
      <c r="L158" s="46" t="n"/>
      <c r="M158" s="15">
        <f>IFERROR(__xludf.DUMMYFUNCTION("""COMPUTED_VALUE"""),"Ngưng SD")</f>
        <v/>
      </c>
      <c r="N158" s="22" t="n"/>
      <c r="O158" s="22" t="n"/>
      <c r="P158" s="22" t="n"/>
      <c r="Q158" s="22" t="n"/>
      <c r="R158" s="22" t="n"/>
    </row>
    <row r="159">
      <c r="A159" s="7">
        <f>IFERROR(__xludf.DUMMYFUNCTION("""COMPUTED_VALUE"""),156)</f>
        <v/>
      </c>
      <c r="B159" s="8">
        <f>IFERROR(__xludf.DUMMYFUNCTION("""COMPUTED_VALUE"""),"Unity")</f>
        <v/>
      </c>
      <c r="C159" s="51" t="n"/>
      <c r="D159" s="8">
        <f>IFERROR(__xludf.DUMMYFUNCTION("""COMPUTED_VALUE"""),"Voucher12")</f>
        <v/>
      </c>
      <c r="E159" s="8">
        <f>IFERROR(__xludf.DUMMYFUNCTION("""COMPUTED_VALUE"""),"Voucher12")</f>
        <v/>
      </c>
      <c r="F159" s="15">
        <f>IFERROR(__xludf.DUMMYFUNCTION("""COMPUTED_VALUE"""),"x")</f>
        <v/>
      </c>
      <c r="G159" s="8">
        <f>IFERROR(__xludf.DUMMYFUNCTION("""COMPUTED_VALUE"""),"VVIP")</f>
        <v/>
      </c>
      <c r="H159" s="8">
        <f>IFERROR(__xludf.DUMMYFUNCTION("""COMPUTED_VALUE"""),"VVIP")</f>
        <v/>
      </c>
      <c r="I159" s="16">
        <f>IFERROR(__xludf.DUMMYFUNCTION("""COMPUTED_VALUE"""),"12 tháng")</f>
        <v/>
      </c>
      <c r="J159" s="16" t="n"/>
      <c r="K159" s="48" t="n"/>
      <c r="L159" s="46" t="n"/>
      <c r="M159" s="15">
        <f>IFERROR(__xludf.DUMMYFUNCTION("""COMPUTED_VALUE"""),"")</f>
        <v/>
      </c>
      <c r="N159" s="22" t="n"/>
      <c r="O159" s="22" t="n"/>
      <c r="P159" s="22" t="n"/>
      <c r="Q159" s="22" t="n"/>
      <c r="R159" s="22" t="n"/>
    </row>
    <row r="160">
      <c r="A160" s="7">
        <f>IFERROR(__xludf.DUMMYFUNCTION("""COMPUTED_VALUE"""),157)</f>
        <v/>
      </c>
      <c r="B160" s="8">
        <f>IFERROR(__xludf.DUMMYFUNCTION("""COMPUTED_VALUE"""),"Unity")</f>
        <v/>
      </c>
      <c r="C160" s="51">
        <f>IFERROR(__xludf.DUMMYFUNCTION("""COMPUTED_VALUE"""),"Trải nghiệm")</f>
        <v/>
      </c>
      <c r="D160" s="8" t="n"/>
      <c r="E160" s="8">
        <f>IFERROR(__xludf.DUMMYFUNCTION("""COMPUTED_VALUE"""),"TN01")</f>
        <v/>
      </c>
      <c r="F160" s="15">
        <f>IFERROR(__xludf.DUMMYFUNCTION("""COMPUTED_VALUE"""),"x")</f>
        <v/>
      </c>
      <c r="G160" s="8">
        <f>IFERROR(__xludf.DUMMYFUNCTION("""COMPUTED_VALUE"""),"MBS")</f>
        <v/>
      </c>
      <c r="H160" s="8">
        <f>IFERROR(__xludf.DUMMYFUNCTION("""COMPUTED_VALUE"""),"MBS")</f>
        <v/>
      </c>
      <c r="I160" s="16">
        <f>IFERROR(__xludf.DUMMYFUNCTION("""COMPUTED_VALUE"""),"1 tháng")</f>
        <v/>
      </c>
      <c r="J160" s="16" t="n"/>
      <c r="K160" s="48">
        <f>IFERROR(__xludf.DUMMYFUNCTION("""COMPUTED_VALUE"""),600000)</f>
        <v/>
      </c>
      <c r="L160" s="46" t="n"/>
      <c r="M160" s="15">
        <f>IFERROR(__xludf.DUMMYFUNCTION("""COMPUTED_VALUE"""),"Ngưng SD")</f>
        <v/>
      </c>
      <c r="N160" s="22" t="n"/>
      <c r="O160" s="22" t="n"/>
      <c r="P160" s="22" t="n"/>
      <c r="Q160" s="22" t="n"/>
      <c r="R160" s="22" t="n"/>
    </row>
    <row r="161">
      <c r="A161" s="7">
        <f>IFERROR(__xludf.DUMMYFUNCTION("""COMPUTED_VALUE"""),158)</f>
        <v/>
      </c>
      <c r="B161" s="8">
        <f>IFERROR(__xludf.DUMMYFUNCTION("""COMPUTED_VALUE"""),"Unity")</f>
        <v/>
      </c>
      <c r="C161" s="51">
        <f>IFERROR(__xludf.DUMMYFUNCTION("""COMPUTED_VALUE"""),"Hoàn thiện ĐC MBS")</f>
        <v/>
      </c>
      <c r="D161" s="8">
        <f>IFERROR(__xludf.DUMMYFUNCTION("""COMPUTED_VALUE"""),"HTĐCMBS")</f>
        <v/>
      </c>
      <c r="E161" s="8">
        <f>IFERROR(__xludf.DUMMYFUNCTION("""COMPUTED_VALUE"""),"HTĐCMBS")</f>
        <v/>
      </c>
      <c r="F161" s="15" t="n"/>
      <c r="G161" s="8">
        <f>IFERROR(__xludf.DUMMYFUNCTION("""COMPUTED_VALUE"""),"MBS")</f>
        <v/>
      </c>
      <c r="H161" s="8">
        <f>IFERROR(__xludf.DUMMYFUNCTION("""COMPUTED_VALUE"""),"MBSĐC")</f>
        <v/>
      </c>
      <c r="I161" s="16" t="n"/>
      <c r="J161" s="16" t="n"/>
      <c r="K161" s="48" t="n"/>
      <c r="L161" s="46" t="n"/>
      <c r="M161" s="15">
        <f>IFERROR(__xludf.DUMMYFUNCTION("""COMPUTED_VALUE"""),"")</f>
        <v/>
      </c>
      <c r="N161" s="22" t="n"/>
      <c r="O161" s="22" t="n"/>
      <c r="P161" s="22" t="n"/>
      <c r="Q161" s="22" t="n"/>
      <c r="R161" s="22" t="n"/>
    </row>
    <row r="162">
      <c r="A162" s="7">
        <f>IFERROR(__xludf.DUMMYFUNCTION("""COMPUTED_VALUE"""),159)</f>
        <v/>
      </c>
      <c r="B162" s="8">
        <f>IFERROR(__xludf.DUMMYFUNCTION("""COMPUTED_VALUE"""),"Unity")</f>
        <v/>
      </c>
      <c r="C162" s="51">
        <f>IFERROR(__xludf.DUMMYFUNCTION("""COMPUTED_VALUE"""),"Hoàn thiện ĐC PT")</f>
        <v/>
      </c>
      <c r="D162" s="8">
        <f>IFERROR(__xludf.DUMMYFUNCTION("""COMPUTED_VALUE"""),"HTĐCPT")</f>
        <v/>
      </c>
      <c r="E162" s="8">
        <f>IFERROR(__xludf.DUMMYFUNCTION("""COMPUTED_VALUE"""),"HTĐCPT")</f>
        <v/>
      </c>
      <c r="F162" s="15" t="n"/>
      <c r="G162" s="8">
        <f>IFERROR(__xludf.DUMMYFUNCTION("""COMPUTED_VALUE"""),"PT")</f>
        <v/>
      </c>
      <c r="H162" s="8">
        <f>IFERROR(__xludf.DUMMYFUNCTION("""COMPUTED_VALUE"""),"PTĐC")</f>
        <v/>
      </c>
      <c r="I162" s="16" t="n"/>
      <c r="J162" s="16" t="n"/>
      <c r="K162" s="48" t="n"/>
      <c r="L162" s="46" t="n"/>
      <c r="M162" s="15">
        <f>IFERROR(__xludf.DUMMYFUNCTION("""COMPUTED_VALUE"""),"")</f>
        <v/>
      </c>
      <c r="N162" s="22" t="n"/>
      <c r="O162" s="22" t="n"/>
      <c r="P162" s="22" t="n"/>
      <c r="Q162" s="22" t="n"/>
      <c r="R162" s="22" t="n"/>
    </row>
    <row r="163">
      <c r="A163" s="7">
        <f>IFERROR(__xludf.DUMMYFUNCTION("""COMPUTED_VALUE"""),160)</f>
        <v/>
      </c>
      <c r="B163" s="8">
        <f>IFERROR(__xludf.DUMMYFUNCTION("""COMPUTED_VALUE"""),"Unity")</f>
        <v/>
      </c>
      <c r="C163" s="51">
        <f>IFERROR(__xludf.DUMMYFUNCTION("""COMPUTED_VALUE"""),"Hoàn thiện ĐC PTP")</f>
        <v/>
      </c>
      <c r="D163" s="8">
        <f>IFERROR(__xludf.DUMMYFUNCTION("""COMPUTED_VALUE"""),"HTĐCPTP")</f>
        <v/>
      </c>
      <c r="E163" s="8">
        <f>IFERROR(__xludf.DUMMYFUNCTION("""COMPUTED_VALUE"""),"HTĐCPTP")</f>
        <v/>
      </c>
      <c r="F163" s="15" t="n"/>
      <c r="G163" s="8">
        <f>IFERROR(__xludf.DUMMYFUNCTION("""COMPUTED_VALUE"""),"PTP")</f>
        <v/>
      </c>
      <c r="H163" s="8">
        <f>IFERROR(__xludf.DUMMYFUNCTION("""COMPUTED_VALUE"""),"PTĐC")</f>
        <v/>
      </c>
      <c r="I163" s="16" t="n"/>
      <c r="J163" s="16" t="n"/>
      <c r="K163" s="48" t="n"/>
      <c r="L163" s="46" t="n"/>
      <c r="M163" s="15">
        <f>IFERROR(__xludf.DUMMYFUNCTION("""COMPUTED_VALUE"""),"")</f>
        <v/>
      </c>
      <c r="N163" s="22" t="n"/>
      <c r="O163" s="22" t="n"/>
      <c r="P163" s="22" t="n"/>
      <c r="Q163" s="22" t="n"/>
      <c r="R163" s="22" t="n"/>
    </row>
    <row r="164">
      <c r="A164" s="7">
        <f>IFERROR(__xludf.DUMMYFUNCTION("""COMPUTED_VALUE"""),161)</f>
        <v/>
      </c>
      <c r="B164" s="8">
        <f>IFERROR(__xludf.DUMMYFUNCTION("""COMPUTED_VALUE"""),"Unity")</f>
        <v/>
      </c>
      <c r="C164" s="51">
        <f>IFERROR(__xludf.DUMMYFUNCTION("""COMPUTED_VALUE"""),"Trải nghiệm 1 tháng full dịch vụ")</f>
        <v/>
      </c>
      <c r="D164" s="8" t="n"/>
      <c r="E164" s="8">
        <f>IFERROR(__xludf.DUMMYFUNCTION("""COMPUTED_VALUE"""),"TNF01")</f>
        <v/>
      </c>
      <c r="F164" s="15">
        <f>IFERROR(__xludf.DUMMYFUNCTION("""COMPUTED_VALUE"""),"x")</f>
        <v/>
      </c>
      <c r="G164" s="8">
        <f>IFERROR(__xludf.DUMMYFUNCTION("""COMPUTED_VALUE"""),"MBS")</f>
        <v/>
      </c>
      <c r="H164" s="8">
        <f>IFERROR(__xludf.DUMMYFUNCTION("""COMPUTED_VALUE"""),"MBS")</f>
        <v/>
      </c>
      <c r="I164" s="16">
        <f>IFERROR(__xludf.DUMMYFUNCTION("""COMPUTED_VALUE"""),"1 tháng")</f>
        <v/>
      </c>
      <c r="J164" s="16">
        <f>IFERROR(__xludf.DUMMYFUNCTION("""COMPUTED_VALUE"""),"1 tháng")</f>
        <v/>
      </c>
      <c r="K164" s="48">
        <f>IFERROR(__xludf.DUMMYFUNCTION("""COMPUTED_VALUE"""),999000)</f>
        <v/>
      </c>
      <c r="L164" s="46" t="n"/>
      <c r="M164" s="15">
        <f>IFERROR(__xludf.DUMMYFUNCTION("""COMPUTED_VALUE"""),"Ngưng SD")</f>
        <v/>
      </c>
      <c r="N164" s="22" t="n"/>
      <c r="O164" s="22" t="n"/>
      <c r="P164" s="22" t="n"/>
      <c r="Q164" s="22" t="n"/>
      <c r="R164" s="22" t="n"/>
    </row>
    <row r="165">
      <c r="A165" s="7">
        <f>IFERROR(__xludf.DUMMYFUNCTION("""COMPUTED_VALUE"""),162)</f>
        <v/>
      </c>
      <c r="B165" s="8">
        <f>IFERROR(__xludf.DUMMYFUNCTION("""COMPUTED_VALUE"""),"Unity")</f>
        <v/>
      </c>
      <c r="C165" s="51">
        <f>IFERROR(__xludf.DUMMYFUNCTION("""COMPUTED_VALUE"""),"Liên kết Bên dạy bơi Oanh Sơn ")</f>
        <v/>
      </c>
      <c r="D165" s="8" t="n"/>
      <c r="E165" s="8">
        <f>IFERROR(__xludf.DUMMYFUNCTION("""COMPUTED_VALUE"""),"LB cơ bản")</f>
        <v/>
      </c>
      <c r="F165" s="15">
        <f>IFERROR(__xludf.DUMMYFUNCTION("""COMPUTED_VALUE"""),"xx")</f>
        <v/>
      </c>
      <c r="G165" s="8">
        <f>IFERROR(__xludf.DUMMYFUNCTION("""COMPUTED_VALUE"""),"K.Bơi")</f>
        <v/>
      </c>
      <c r="H165" s="8">
        <f>IFERROR(__xludf.DUMMYFUNCTION("""COMPUTED_VALUE"""),"K.Bơi")</f>
        <v/>
      </c>
      <c r="I165" s="16">
        <f>IFERROR(__xludf.DUMMYFUNCTION("""COMPUTED_VALUE"""),"10 buổi/1 tháng")</f>
        <v/>
      </c>
      <c r="J165" s="16" t="n"/>
      <c r="K165" s="48">
        <f>IFERROR(__xludf.DUMMYFUNCTION("""COMPUTED_VALUE"""),3200000)</f>
        <v/>
      </c>
      <c r="L165" s="46" t="n"/>
      <c r="M165" s="15">
        <f>IFERROR(__xludf.DUMMYFUNCTION("""COMPUTED_VALUE"""),"Ngưng SD")</f>
        <v/>
      </c>
      <c r="N165" s="22" t="n"/>
      <c r="O165" s="22" t="n"/>
      <c r="P165" s="22" t="n"/>
      <c r="Q165" s="22" t="n"/>
      <c r="R165" s="22" t="n"/>
    </row>
    <row r="166">
      <c r="A166" s="7">
        <f>IFERROR(__xludf.DUMMYFUNCTION("""COMPUTED_VALUE"""),163)</f>
        <v/>
      </c>
      <c r="B166" s="8">
        <f>IFERROR(__xludf.DUMMYFUNCTION("""COMPUTED_VALUE"""),"Unity")</f>
        <v/>
      </c>
      <c r="C166" s="51">
        <f>IFERROR(__xludf.DUMMYFUNCTION("""COMPUTED_VALUE"""),"Liên kết Bên dạy bơi Oanh Sơn ")</f>
        <v/>
      </c>
      <c r="D166" s="8" t="n"/>
      <c r="E166" s="8">
        <f>IFERROR(__xludf.DUMMYFUNCTION("""COMPUTED_VALUE"""),"LB nâng cao")</f>
        <v/>
      </c>
      <c r="F166" s="15">
        <f>IFERROR(__xludf.DUMMYFUNCTION("""COMPUTED_VALUE"""),"xx")</f>
        <v/>
      </c>
      <c r="G166" s="8">
        <f>IFERROR(__xludf.DUMMYFUNCTION("""COMPUTED_VALUE"""),"K.Bơi")</f>
        <v/>
      </c>
      <c r="H166" s="8">
        <f>IFERROR(__xludf.DUMMYFUNCTION("""COMPUTED_VALUE"""),"K.Bơi")</f>
        <v/>
      </c>
      <c r="I166" s="16">
        <f>IFERROR(__xludf.DUMMYFUNCTION("""COMPUTED_VALUE"""),"10 buổi/1 tháng")</f>
        <v/>
      </c>
      <c r="J166" s="16" t="n"/>
      <c r="K166" s="48">
        <f>IFERROR(__xludf.DUMMYFUNCTION("""COMPUTED_VALUE"""),4800000)</f>
        <v/>
      </c>
      <c r="L166" s="46" t="n"/>
      <c r="M166" s="15">
        <f>IFERROR(__xludf.DUMMYFUNCTION("""COMPUTED_VALUE"""),"Ngưng SD")</f>
        <v/>
      </c>
      <c r="N166" s="22" t="n"/>
      <c r="O166" s="22" t="n"/>
      <c r="P166" s="22" t="n"/>
      <c r="Q166" s="22" t="n"/>
      <c r="R166" s="22" t="n"/>
    </row>
    <row r="167">
      <c r="A167" s="7">
        <f>IFERROR(__xludf.DUMMYFUNCTION("""COMPUTED_VALUE"""),164)</f>
        <v/>
      </c>
      <c r="B167" s="8">
        <f>IFERROR(__xludf.DUMMYFUNCTION("""COMPUTED_VALUE"""),"Unity")</f>
        <v/>
      </c>
      <c r="C167" s="51">
        <f>IFERROR(__xludf.DUMMYFUNCTION("""COMPUTED_VALUE"""),"Liên kết Bên dạy bơi Oanh Sơn ")</f>
        <v/>
      </c>
      <c r="D167" s="8" t="n"/>
      <c r="E167" s="8">
        <f>IFERROR(__xludf.DUMMYFUNCTION("""COMPUTED_VALUE"""),"LB cơ bản MBS")</f>
        <v/>
      </c>
      <c r="F167" s="15">
        <f>IFERROR(__xludf.DUMMYFUNCTION("""COMPUTED_VALUE"""),"xx")</f>
        <v/>
      </c>
      <c r="G167" s="8">
        <f>IFERROR(__xludf.DUMMYFUNCTION("""COMPUTED_VALUE"""),"K.Bơi")</f>
        <v/>
      </c>
      <c r="H167" s="8">
        <f>IFERROR(__xludf.DUMMYFUNCTION("""COMPUTED_VALUE"""),"K.Bơi")</f>
        <v/>
      </c>
      <c r="I167" s="16">
        <f>IFERROR(__xludf.DUMMYFUNCTION("""COMPUTED_VALUE"""),"10 buổi/1 tháng")</f>
        <v/>
      </c>
      <c r="J167" s="16" t="n"/>
      <c r="K167" s="48">
        <f>IFERROR(__xludf.DUMMYFUNCTION("""COMPUTED_VALUE"""),3200000)</f>
        <v/>
      </c>
      <c r="L167" s="46" t="n"/>
      <c r="M167" s="15">
        <f>IFERROR(__xludf.DUMMYFUNCTION("""COMPUTED_VALUE"""),"Ngưng SD")</f>
        <v/>
      </c>
      <c r="N167" s="22" t="n"/>
      <c r="O167" s="22" t="n"/>
      <c r="P167" s="22" t="n"/>
      <c r="Q167" s="22" t="n"/>
      <c r="R167" s="22" t="n"/>
    </row>
    <row r="168">
      <c r="A168" s="7">
        <f>IFERROR(__xludf.DUMMYFUNCTION("""COMPUTED_VALUE"""),165)</f>
        <v/>
      </c>
      <c r="B168" s="8">
        <f>IFERROR(__xludf.DUMMYFUNCTION("""COMPUTED_VALUE"""),"Unity")</f>
        <v/>
      </c>
      <c r="C168" s="51">
        <f>IFERROR(__xludf.DUMMYFUNCTION("""COMPUTED_VALUE"""),"Liên kết Bên dạy bơi Oanh Sơn ")</f>
        <v/>
      </c>
      <c r="D168" s="8" t="n"/>
      <c r="E168" s="8">
        <f>IFERROR(__xludf.DUMMYFUNCTION("""COMPUTED_VALUE"""),"LB nâng cao MBS")</f>
        <v/>
      </c>
      <c r="F168" s="15">
        <f>IFERROR(__xludf.DUMMYFUNCTION("""COMPUTED_VALUE"""),"xx")</f>
        <v/>
      </c>
      <c r="G168" s="8">
        <f>IFERROR(__xludf.DUMMYFUNCTION("""COMPUTED_VALUE"""),"K.Bơi")</f>
        <v/>
      </c>
      <c r="H168" s="8">
        <f>IFERROR(__xludf.DUMMYFUNCTION("""COMPUTED_VALUE"""),"K.Bơi")</f>
        <v/>
      </c>
      <c r="I168" s="16">
        <f>IFERROR(__xludf.DUMMYFUNCTION("""COMPUTED_VALUE"""),"10 buổi/1 tháng")</f>
        <v/>
      </c>
      <c r="J168" s="16" t="n"/>
      <c r="K168" s="48">
        <f>IFERROR(__xludf.DUMMYFUNCTION("""COMPUTED_VALUE"""),4800000)</f>
        <v/>
      </c>
      <c r="L168" s="46" t="n"/>
      <c r="M168" s="15">
        <f>IFERROR(__xludf.DUMMYFUNCTION("""COMPUTED_VALUE"""),"Ngưng SD")</f>
        <v/>
      </c>
      <c r="N168" s="22" t="n"/>
      <c r="O168" s="22" t="n"/>
      <c r="P168" s="22" t="n"/>
      <c r="Q168" s="22" t="n"/>
      <c r="R168" s="22" t="n"/>
    </row>
    <row r="169">
      <c r="A169" s="7">
        <f>IFERROR(__xludf.DUMMYFUNCTION("""COMPUTED_VALUE"""),166)</f>
        <v/>
      </c>
      <c r="B169" s="8">
        <f>IFERROR(__xludf.DUMMYFUNCTION("""COMPUTED_VALUE"""),"Unity")</f>
        <v/>
      </c>
      <c r="C169" s="51">
        <f>IFERROR(__xludf.DUMMYFUNCTION("""COMPUTED_VALUE"""),"Liên kết Bên dạy bơi Oanh Sơn ")</f>
        <v/>
      </c>
      <c r="D169" s="8">
        <f>IFERROR(__xludf.DUMMYFUNCTION("""COMPUTED_VALUE"""),"LBCB1:1")</f>
        <v/>
      </c>
      <c r="E169" s="8">
        <f>IFERROR(__xludf.DUMMYFUNCTION("""COMPUTED_VALUE"""),"LBCB1:1")</f>
        <v/>
      </c>
      <c r="F169" s="15">
        <f>IFERROR(__xludf.DUMMYFUNCTION("""COMPUTED_VALUE"""),"xx")</f>
        <v/>
      </c>
      <c r="G169" s="8">
        <f>IFERROR(__xludf.DUMMYFUNCTION("""COMPUTED_VALUE"""),"K.Bơi")</f>
        <v/>
      </c>
      <c r="H169" s="8">
        <f>IFERROR(__xludf.DUMMYFUNCTION("""COMPUTED_VALUE"""),"K.Bơi")</f>
        <v/>
      </c>
      <c r="I169" s="16">
        <f>IFERROR(__xludf.DUMMYFUNCTION("""COMPUTED_VALUE"""),"10 buổi/1 tháng")</f>
        <v/>
      </c>
      <c r="J169" s="16" t="n"/>
      <c r="K169" s="48">
        <f>IFERROR(__xludf.DUMMYFUNCTION("""COMPUTED_VALUE"""),4000000)</f>
        <v/>
      </c>
      <c r="L169" s="46" t="n"/>
      <c r="M169" s="15" t="n"/>
      <c r="N169" s="22" t="n"/>
      <c r="O169" s="22" t="n"/>
      <c r="P169" s="22" t="n"/>
      <c r="Q169" s="22" t="n"/>
      <c r="R169" s="22" t="n"/>
    </row>
    <row r="170">
      <c r="A170" s="7">
        <f>IFERROR(__xludf.DUMMYFUNCTION("""COMPUTED_VALUE"""),167)</f>
        <v/>
      </c>
      <c r="B170" s="8">
        <f>IFERROR(__xludf.DUMMYFUNCTION("""COMPUTED_VALUE"""),"Unity")</f>
        <v/>
      </c>
      <c r="C170" s="51">
        <f>IFERROR(__xludf.DUMMYFUNCTION("""COMPUTED_VALUE"""),"Liên kết Bên dạy bơi Oanh Sơn ")</f>
        <v/>
      </c>
      <c r="D170" s="8">
        <f>IFERROR(__xludf.DUMMYFUNCTION("""COMPUTED_VALUE"""),"LBCB1:2")</f>
        <v/>
      </c>
      <c r="E170" s="8">
        <f>IFERROR(__xludf.DUMMYFUNCTION("""COMPUTED_VALUE"""),"LBCB1:2")</f>
        <v/>
      </c>
      <c r="F170" s="15">
        <f>IFERROR(__xludf.DUMMYFUNCTION("""COMPUTED_VALUE"""),"xx")</f>
        <v/>
      </c>
      <c r="G170" s="8">
        <f>IFERROR(__xludf.DUMMYFUNCTION("""COMPUTED_VALUE"""),"K.Bơi")</f>
        <v/>
      </c>
      <c r="H170" s="8">
        <f>IFERROR(__xludf.DUMMYFUNCTION("""COMPUTED_VALUE"""),"K.Bơi")</f>
        <v/>
      </c>
      <c r="I170" s="16">
        <f>IFERROR(__xludf.DUMMYFUNCTION("""COMPUTED_VALUE"""),"10 buổi/1 tháng")</f>
        <v/>
      </c>
      <c r="J170" s="16" t="n"/>
      <c r="K170" s="48">
        <f>IFERROR(__xludf.DUMMYFUNCTION("""COMPUTED_VALUE"""),3200000)</f>
        <v/>
      </c>
      <c r="L170" s="46" t="n"/>
      <c r="M170" s="15" t="n"/>
      <c r="N170" s="22" t="n"/>
      <c r="O170" s="22" t="n"/>
      <c r="P170" s="22" t="n"/>
      <c r="Q170" s="22" t="n"/>
      <c r="R170" s="22" t="n"/>
    </row>
    <row r="171">
      <c r="A171" s="7">
        <f>IFERROR(__xludf.DUMMYFUNCTION("""COMPUTED_VALUE"""),168)</f>
        <v/>
      </c>
      <c r="B171" s="8">
        <f>IFERROR(__xludf.DUMMYFUNCTION("""COMPUTED_VALUE"""),"Unity")</f>
        <v/>
      </c>
      <c r="C171" s="51">
        <f>IFERROR(__xludf.DUMMYFUNCTION("""COMPUTED_VALUE"""),"Liên kết Bên dạy bơi Oanh Sơn ")</f>
        <v/>
      </c>
      <c r="D171" s="8">
        <f>IFERROR(__xludf.DUMMYFUNCTION("""COMPUTED_VALUE"""),"LBCB1:N")</f>
        <v/>
      </c>
      <c r="E171" s="8">
        <f>IFERROR(__xludf.DUMMYFUNCTION("""COMPUTED_VALUE"""),"LBCB1:N")</f>
        <v/>
      </c>
      <c r="F171" s="15">
        <f>IFERROR(__xludf.DUMMYFUNCTION("""COMPUTED_VALUE"""),"xx")</f>
        <v/>
      </c>
      <c r="G171" s="8">
        <f>IFERROR(__xludf.DUMMYFUNCTION("""COMPUTED_VALUE"""),"K.Bơi")</f>
        <v/>
      </c>
      <c r="H171" s="8">
        <f>IFERROR(__xludf.DUMMYFUNCTION("""COMPUTED_VALUE"""),"K.Bơi")</f>
        <v/>
      </c>
      <c r="I171" s="16">
        <f>IFERROR(__xludf.DUMMYFUNCTION("""COMPUTED_VALUE"""),"10 buổi/1 tháng")</f>
        <v/>
      </c>
      <c r="J171" s="16" t="n"/>
      <c r="K171" s="48">
        <f>IFERROR(__xludf.DUMMYFUNCTION("""COMPUTED_VALUE"""),2500000)</f>
        <v/>
      </c>
      <c r="L171" s="46" t="n"/>
      <c r="M171" s="15" t="n"/>
      <c r="N171" s="22" t="n"/>
      <c r="O171" s="22" t="n"/>
      <c r="P171" s="22" t="n"/>
      <c r="Q171" s="22" t="n"/>
      <c r="R171" s="22" t="n"/>
    </row>
    <row r="172">
      <c r="A172" s="7">
        <f>IFERROR(__xludf.DUMMYFUNCTION("""COMPUTED_VALUE"""),169)</f>
        <v/>
      </c>
      <c r="B172" s="8">
        <f>IFERROR(__xludf.DUMMYFUNCTION("""COMPUTED_VALUE"""),"Unity")</f>
        <v/>
      </c>
      <c r="C172" s="51">
        <f>IFERROR(__xludf.DUMMYFUNCTION("""COMPUTED_VALUE"""),"Liên kết Bên dạy bơi Oanh Sơn ")</f>
        <v/>
      </c>
      <c r="D172" s="8">
        <f>IFERROR(__xludf.DUMMYFUNCTION("""COMPUTED_VALUE"""),"LBCB1:1 MBS")</f>
        <v/>
      </c>
      <c r="E172" s="8">
        <f>IFERROR(__xludf.DUMMYFUNCTION("""COMPUTED_VALUE"""),"LBCB1:1 MBS")</f>
        <v/>
      </c>
      <c r="F172" s="15">
        <f>IFERROR(__xludf.DUMMYFUNCTION("""COMPUTED_VALUE"""),"xx")</f>
        <v/>
      </c>
      <c r="G172" s="8">
        <f>IFERROR(__xludf.DUMMYFUNCTION("""COMPUTED_VALUE"""),"K.Bơi")</f>
        <v/>
      </c>
      <c r="H172" s="8">
        <f>IFERROR(__xludf.DUMMYFUNCTION("""COMPUTED_VALUE"""),"K.Bơi")</f>
        <v/>
      </c>
      <c r="I172" s="16">
        <f>IFERROR(__xludf.DUMMYFUNCTION("""COMPUTED_VALUE"""),"10 buổi/1 tháng")</f>
        <v/>
      </c>
      <c r="J172" s="16" t="n"/>
      <c r="K172" s="48">
        <f>IFERROR(__xludf.DUMMYFUNCTION("""COMPUTED_VALUE"""),4000000)</f>
        <v/>
      </c>
      <c r="L172" s="46" t="n"/>
      <c r="M172" s="15" t="n"/>
      <c r="N172" s="22" t="n"/>
      <c r="O172" s="22" t="n"/>
      <c r="P172" s="22" t="n"/>
      <c r="Q172" s="22" t="n"/>
      <c r="R172" s="22" t="n"/>
    </row>
    <row r="173">
      <c r="A173" s="7">
        <f>IFERROR(__xludf.DUMMYFUNCTION("""COMPUTED_VALUE"""),170)</f>
        <v/>
      </c>
      <c r="B173" s="8">
        <f>IFERROR(__xludf.DUMMYFUNCTION("""COMPUTED_VALUE"""),"Unity")</f>
        <v/>
      </c>
      <c r="C173" s="51">
        <f>IFERROR(__xludf.DUMMYFUNCTION("""COMPUTED_VALUE"""),"Liên kết Bên dạy bơi Oanh Sơn ")</f>
        <v/>
      </c>
      <c r="D173" s="8">
        <f>IFERROR(__xludf.DUMMYFUNCTION("""COMPUTED_VALUE"""),"LBCB1:2 MBS")</f>
        <v/>
      </c>
      <c r="E173" s="8">
        <f>IFERROR(__xludf.DUMMYFUNCTION("""COMPUTED_VALUE"""),"LBCB1:2 MBS")</f>
        <v/>
      </c>
      <c r="F173" s="15">
        <f>IFERROR(__xludf.DUMMYFUNCTION("""COMPUTED_VALUE"""),"xx")</f>
        <v/>
      </c>
      <c r="G173" s="8">
        <f>IFERROR(__xludf.DUMMYFUNCTION("""COMPUTED_VALUE"""),"K.Bơi")</f>
        <v/>
      </c>
      <c r="H173" s="8">
        <f>IFERROR(__xludf.DUMMYFUNCTION("""COMPUTED_VALUE"""),"K.Bơi")</f>
        <v/>
      </c>
      <c r="I173" s="16">
        <f>IFERROR(__xludf.DUMMYFUNCTION("""COMPUTED_VALUE"""),"10 buổi/1 tháng")</f>
        <v/>
      </c>
      <c r="J173" s="16" t="n"/>
      <c r="K173" s="48">
        <f>IFERROR(__xludf.DUMMYFUNCTION("""COMPUTED_VALUE"""),3200000)</f>
        <v/>
      </c>
      <c r="L173" s="46" t="n"/>
      <c r="M173" s="15" t="n"/>
      <c r="N173" s="22" t="n"/>
      <c r="O173" s="22" t="n"/>
      <c r="P173" s="22" t="n"/>
      <c r="Q173" s="22" t="n"/>
      <c r="R173" s="22" t="n"/>
    </row>
    <row r="174">
      <c r="A174" s="7">
        <f>IFERROR(__xludf.DUMMYFUNCTION("""COMPUTED_VALUE"""),171)</f>
        <v/>
      </c>
      <c r="B174" s="8">
        <f>IFERROR(__xludf.DUMMYFUNCTION("""COMPUTED_VALUE"""),"Unity")</f>
        <v/>
      </c>
      <c r="C174" s="51">
        <f>IFERROR(__xludf.DUMMYFUNCTION("""COMPUTED_VALUE"""),"Liên kết Bên dạy bơi Oanh Sơn ")</f>
        <v/>
      </c>
      <c r="D174" s="8">
        <f>IFERROR(__xludf.DUMMYFUNCTION("""COMPUTED_VALUE"""),"LBCB1:N MBS")</f>
        <v/>
      </c>
      <c r="E174" s="8">
        <f>IFERROR(__xludf.DUMMYFUNCTION("""COMPUTED_VALUE"""),"LBCB1:N MBS")</f>
        <v/>
      </c>
      <c r="F174" s="15">
        <f>IFERROR(__xludf.DUMMYFUNCTION("""COMPUTED_VALUE"""),"xx")</f>
        <v/>
      </c>
      <c r="G174" s="8">
        <f>IFERROR(__xludf.DUMMYFUNCTION("""COMPUTED_VALUE"""),"K.Bơi")</f>
        <v/>
      </c>
      <c r="H174" s="8">
        <f>IFERROR(__xludf.DUMMYFUNCTION("""COMPUTED_VALUE"""),"K.Bơi")</f>
        <v/>
      </c>
      <c r="I174" s="16">
        <f>IFERROR(__xludf.DUMMYFUNCTION("""COMPUTED_VALUE"""),"10 buổi/1 tháng")</f>
        <v/>
      </c>
      <c r="J174" s="16" t="n"/>
      <c r="K174" s="48">
        <f>IFERROR(__xludf.DUMMYFUNCTION("""COMPUTED_VALUE"""),2500000)</f>
        <v/>
      </c>
      <c r="L174" s="46" t="n"/>
      <c r="M174" s="15" t="n"/>
      <c r="N174" s="22" t="n"/>
      <c r="O174" s="22" t="n"/>
      <c r="P174" s="22" t="n"/>
      <c r="Q174" s="22" t="n"/>
      <c r="R174" s="22" t="n"/>
    </row>
    <row r="175">
      <c r="A175" s="7">
        <f>IFERROR(__xludf.DUMMYFUNCTION("""COMPUTED_VALUE"""),172)</f>
        <v/>
      </c>
      <c r="B175" s="8">
        <f>IFERROR(__xludf.DUMMYFUNCTION("""COMPUTED_VALUE"""),"Unity")</f>
        <v/>
      </c>
      <c r="C175" s="51">
        <f>IFERROR(__xludf.DUMMYFUNCTION("""COMPUTED_VALUE"""),"Liên kết Bên dạy bơi Oanh Sơn ")</f>
        <v/>
      </c>
      <c r="D175" s="8">
        <f>IFERROR(__xludf.DUMMYFUNCTION("""COMPUTED_VALUE"""),"Bơi 10 buổi")</f>
        <v/>
      </c>
      <c r="E175" s="8">
        <f>IFERROR(__xludf.DUMMYFUNCTION("""COMPUTED_VALUE"""),"Bơi 10 buổi")</f>
        <v/>
      </c>
      <c r="F175" s="15">
        <f>IFERROR(__xludf.DUMMYFUNCTION("""COMPUTED_VALUE"""),"x")</f>
        <v/>
      </c>
      <c r="G175" s="8">
        <f>IFERROR(__xludf.DUMMYFUNCTION("""COMPUTED_VALUE"""),"MBS")</f>
        <v/>
      </c>
      <c r="H175" s="8">
        <f>IFERROR(__xludf.DUMMYFUNCTION("""COMPUTED_VALUE"""),"MBS bơi")</f>
        <v/>
      </c>
      <c r="I175" s="16">
        <f>IFERROR(__xludf.DUMMYFUNCTION("""COMPUTED_VALUE"""),"10 buổi/1 tháng")</f>
        <v/>
      </c>
      <c r="J175" s="16" t="n"/>
      <c r="K175" s="48">
        <f>IFERROR(__xludf.DUMMYFUNCTION("""COMPUTED_VALUE"""),500000)</f>
        <v/>
      </c>
      <c r="L175" s="46" t="n"/>
      <c r="M175" s="15">
        <f>IFERROR(__xludf.DUMMYFUNCTION("""COMPUTED_VALUE"""),"")</f>
        <v/>
      </c>
      <c r="N175" s="22" t="n"/>
      <c r="O175" s="22" t="n"/>
      <c r="P175" s="22" t="n"/>
      <c r="Q175" s="22" t="n"/>
      <c r="R175" s="22" t="n"/>
    </row>
    <row r="176" ht="30" customHeight="1" s="75">
      <c r="A176" s="7">
        <f>IFERROR(__xludf.DUMMYFUNCTION("""COMPUTED_VALUE"""),173)</f>
        <v/>
      </c>
      <c r="B176" s="8">
        <f>IFERROR(__xludf.DUMMYFUNCTION("""COMPUTED_VALUE"""),"Unity")</f>
        <v/>
      </c>
      <c r="C176" s="51">
        <f>IFERROR(__xludf.DUMMYFUNCTION("""COMPUTED_VALUE"""),"Liên kết Bên dạy bơi Oanh Sơn ")</f>
        <v/>
      </c>
      <c r="D176" s="8">
        <f>IFERROR(__xludf.DUMMYFUNCTION("""COMPUTED_VALUE"""),"Đặt cọc LB")</f>
        <v/>
      </c>
      <c r="E176" s="8">
        <f>IFERROR(__xludf.DUMMYFUNCTION("""COMPUTED_VALUE"""),"Đặt cọc LB")</f>
        <v/>
      </c>
      <c r="F176" s="15">
        <f>IFERROR(__xludf.DUMMYFUNCTION("""COMPUTED_VALUE"""),"xx")</f>
        <v/>
      </c>
      <c r="G176" s="8">
        <f>IFERROR(__xludf.DUMMYFUNCTION("""COMPUTED_VALUE"""),"K.Bơi ĐC")</f>
        <v/>
      </c>
      <c r="H176" s="8">
        <f>IFERROR(__xludf.DUMMYFUNCTION("""COMPUTED_VALUE"""),"K.Bơi ĐC")</f>
        <v/>
      </c>
      <c r="I176" s="16" t="n"/>
      <c r="J176" s="16" t="n"/>
      <c r="K176" s="48" t="n"/>
      <c r="L176" s="46" t="n"/>
      <c r="M176" s="15">
        <f>IFERROR(__xludf.DUMMYFUNCTION("""COMPUTED_VALUE"""),"")</f>
        <v/>
      </c>
      <c r="N176" s="22" t="n"/>
      <c r="O176" s="22" t="n"/>
      <c r="P176" s="22" t="n"/>
      <c r="Q176" s="22" t="n"/>
      <c r="R176" s="22" t="n"/>
    </row>
    <row r="177" ht="30" customHeight="1" s="75">
      <c r="A177" s="7">
        <f>IFERROR(__xludf.DUMMYFUNCTION("""COMPUTED_VALUE"""),174)</f>
        <v/>
      </c>
      <c r="B177" s="8">
        <f>IFERROR(__xludf.DUMMYFUNCTION("""COMPUTED_VALUE"""),"Unity")</f>
        <v/>
      </c>
      <c r="C177" s="51">
        <f>IFERROR(__xludf.DUMMYFUNCTION("""COMPUTED_VALUE"""),"Liên kết Bên dạy bơi Oanh Sơn ")</f>
        <v/>
      </c>
      <c r="D177" s="8">
        <f>IFERROR(__xludf.DUMMYFUNCTION("""COMPUTED_VALUE"""),"HTĐCLB")</f>
        <v/>
      </c>
      <c r="E177" s="8">
        <f>IFERROR(__xludf.DUMMYFUNCTION("""COMPUTED_VALUE"""),"HTĐCLB")</f>
        <v/>
      </c>
      <c r="F177" s="15" t="n"/>
      <c r="G177" s="8">
        <f>IFERROR(__xludf.DUMMYFUNCTION("""COMPUTED_VALUE"""),"K.Bơi")</f>
        <v/>
      </c>
      <c r="H177" s="8">
        <f>IFERROR(__xludf.DUMMYFUNCTION("""COMPUTED_VALUE"""),"K.Bơi ĐC")</f>
        <v/>
      </c>
      <c r="I177" s="16" t="n"/>
      <c r="J177" s="16" t="n"/>
      <c r="K177" s="48" t="n"/>
      <c r="L177" s="46" t="n"/>
      <c r="M177" s="15">
        <f>IFERROR(__xludf.DUMMYFUNCTION("""COMPUTED_VALUE"""),"")</f>
        <v/>
      </c>
      <c r="N177" s="22" t="n"/>
      <c r="O177" s="22" t="n"/>
      <c r="P177" s="22" t="n"/>
      <c r="Q177" s="22" t="n"/>
      <c r="R177" s="22" t="n"/>
    </row>
    <row r="178">
      <c r="A178" s="7">
        <f>IFERROR(__xludf.DUMMYFUNCTION("""COMPUTED_VALUE"""),175)</f>
        <v/>
      </c>
      <c r="B178" s="8">
        <f>IFERROR(__xludf.DUMMYFUNCTION("""COMPUTED_VALUE"""),"Unity")</f>
        <v/>
      </c>
      <c r="C178" s="51" t="n"/>
      <c r="D178" s="8">
        <f>IFERROR(__xludf.DUMMYFUNCTION("""COMPUTED_VALUE"""),"FOC1.")</f>
        <v/>
      </c>
      <c r="E178" s="8">
        <f>IFERROR(__xludf.DUMMYFUNCTION("""COMPUTED_VALUE"""),"FOC1.")</f>
        <v/>
      </c>
      <c r="F178" s="15">
        <f>IFERROR(__xludf.DUMMYFUNCTION("""COMPUTED_VALUE"""),"xx")</f>
        <v/>
      </c>
      <c r="G178" s="8">
        <f>IFERROR(__xludf.DUMMYFUNCTION("""COMPUTED_VALUE"""),"FOC1")</f>
        <v/>
      </c>
      <c r="H178" s="8">
        <f>IFERROR(__xludf.DUMMYFUNCTION("""COMPUTED_VALUE"""),"FOC1")</f>
        <v/>
      </c>
      <c r="I178" s="16">
        <f>IFERROR(__xludf.DUMMYFUNCTION("""COMPUTED_VALUE"""),"Buổi tập")</f>
        <v/>
      </c>
      <c r="J178" s="16" t="n"/>
      <c r="K178" s="48" t="n"/>
      <c r="L178" s="46" t="n"/>
      <c r="M178" s="15">
        <f>IFERROR(__xludf.DUMMYFUNCTION("""COMPUTED_VALUE"""),"")</f>
        <v/>
      </c>
      <c r="N178" s="22" t="n"/>
      <c r="O178" s="22" t="n"/>
      <c r="P178" s="22" t="n"/>
      <c r="Q178" s="22" t="n"/>
      <c r="R178" s="22" t="n"/>
    </row>
    <row r="179">
      <c r="A179" s="7">
        <f>IFERROR(__xludf.DUMMYFUNCTION("""COMPUTED_VALUE"""),176)</f>
        <v/>
      </c>
      <c r="B179" s="8">
        <f>IFERROR(__xludf.DUMMYFUNCTION("""COMPUTED_VALUE"""),"Unity")</f>
        <v/>
      </c>
      <c r="C179" s="51" t="n"/>
      <c r="D179" s="8">
        <f>IFERROR(__xludf.DUMMYFUNCTION("""COMPUTED_VALUE"""),"Voucher7N")</f>
        <v/>
      </c>
      <c r="E179" s="8">
        <f>IFERROR(__xludf.DUMMYFUNCTION("""COMPUTED_VALUE"""),"Voucher7N")</f>
        <v/>
      </c>
      <c r="F179" s="15">
        <f>IFERROR(__xludf.DUMMYFUNCTION("""COMPUTED_VALUE"""),"x")</f>
        <v/>
      </c>
      <c r="G179" s="8">
        <f>IFERROR(__xludf.DUMMYFUNCTION("""COMPUTED_VALUE"""),"VVIP")</f>
        <v/>
      </c>
      <c r="H179" s="8">
        <f>IFERROR(__xludf.DUMMYFUNCTION("""COMPUTED_VALUE"""),"VVIP")</f>
        <v/>
      </c>
      <c r="I179" s="16">
        <f>IFERROR(__xludf.DUMMYFUNCTION("""COMPUTED_VALUE"""),"7 ngày")</f>
        <v/>
      </c>
      <c r="J179" s="16" t="n"/>
      <c r="K179" s="48" t="n"/>
      <c r="L179" s="46" t="n"/>
      <c r="M179" s="15">
        <f>IFERROR(__xludf.DUMMYFUNCTION("""COMPUTED_VALUE"""),"")</f>
        <v/>
      </c>
      <c r="N179" s="22" t="n"/>
      <c r="O179" s="22" t="n"/>
      <c r="P179" s="22" t="n"/>
      <c r="Q179" s="22" t="n"/>
      <c r="R179" s="22" t="n"/>
    </row>
    <row r="180">
      <c r="A180" s="7">
        <f>IFERROR(__xludf.DUMMYFUNCTION("""COMPUTED_VALUE"""),177)</f>
        <v/>
      </c>
      <c r="B180" s="8">
        <f>IFERROR(__xludf.DUMMYFUNCTION("""COMPUTED_VALUE"""),"Unity")</f>
        <v/>
      </c>
      <c r="C180" s="51">
        <f>IFERROR(__xludf.DUMMYFUNCTION("""COMPUTED_VALUE"""),"SM30.60.")</f>
        <v/>
      </c>
      <c r="D180" s="8">
        <f>IFERROR(__xludf.DUMMYFUNCTION("""COMPUTED_VALUE"""),"SM30.60.")</f>
        <v/>
      </c>
      <c r="E180" s="8">
        <f>IFERROR(__xludf.DUMMYFUNCTION("""COMPUTED_VALUE"""),"SM30.60.")</f>
        <v/>
      </c>
      <c r="F180" s="15">
        <f>IFERROR(__xludf.DUMMYFUNCTION("""COMPUTED_VALUE"""),"xx")</f>
        <v/>
      </c>
      <c r="G180" s="8">
        <f>IFERROR(__xludf.DUMMYFUNCTION("""COMPUTED_VALUE"""),"PTSM")</f>
        <v/>
      </c>
      <c r="H180" s="8">
        <f>IFERROR(__xludf.DUMMYFUNCTION("""COMPUTED_VALUE"""),"PTSM")</f>
        <v/>
      </c>
      <c r="I180" s="16">
        <f>IFERROR(__xludf.DUMMYFUNCTION("""COMPUTED_VALUE"""),"Buổi tập")</f>
        <v/>
      </c>
      <c r="J180" s="16" t="n"/>
      <c r="K180" s="48">
        <f>IFERROR(__xludf.DUMMYFUNCTION("""COMPUTED_VALUE"""),399000)</f>
        <v/>
      </c>
      <c r="L180" s="46" t="n"/>
      <c r="M180" s="15">
        <f>IFERROR(__xludf.DUMMYFUNCTION("""COMPUTED_VALUE"""),"")</f>
        <v/>
      </c>
      <c r="N180" s="22" t="n"/>
      <c r="O180" s="22" t="n"/>
      <c r="P180" s="22" t="n"/>
      <c r="Q180" s="22" t="n"/>
      <c r="R180" s="22" t="n"/>
    </row>
    <row r="181">
      <c r="A181" s="7">
        <f>IFERROR(__xludf.DUMMYFUNCTION("""COMPUTED_VALUE"""),178)</f>
        <v/>
      </c>
      <c r="B181" s="8">
        <f>IFERROR(__xludf.DUMMYFUNCTION("""COMPUTED_VALUE"""),"Unity")</f>
        <v/>
      </c>
      <c r="C181" s="51">
        <f>IFERROR(__xludf.DUMMYFUNCTION("""COMPUTED_VALUE"""),"SM30.80.")</f>
        <v/>
      </c>
      <c r="D181" s="8">
        <f>IFERROR(__xludf.DUMMYFUNCTION("""COMPUTED_VALUE"""),"SM30.80.")</f>
        <v/>
      </c>
      <c r="E181" s="8">
        <f>IFERROR(__xludf.DUMMYFUNCTION("""COMPUTED_VALUE"""),"SM30.80.")</f>
        <v/>
      </c>
      <c r="F181" s="15">
        <f>IFERROR(__xludf.DUMMYFUNCTION("""COMPUTED_VALUE"""),"xx")</f>
        <v/>
      </c>
      <c r="G181" s="8">
        <f>IFERROR(__xludf.DUMMYFUNCTION("""COMPUTED_VALUE"""),"PTSM")</f>
        <v/>
      </c>
      <c r="H181" s="8">
        <f>IFERROR(__xludf.DUMMYFUNCTION("""COMPUTED_VALUE"""),"PTSM")</f>
        <v/>
      </c>
      <c r="I181" s="16">
        <f>IFERROR(__xludf.DUMMYFUNCTION("""COMPUTED_VALUE"""),"Buổi tập")</f>
        <v/>
      </c>
      <c r="J181" s="16" t="n"/>
      <c r="K181" s="48">
        <f>IFERROR(__xludf.DUMMYFUNCTION("""COMPUTED_VALUE"""),299000)</f>
        <v/>
      </c>
      <c r="L181" s="46" t="n"/>
      <c r="M181" s="15">
        <f>IFERROR(__xludf.DUMMYFUNCTION("""COMPUTED_VALUE"""),"")</f>
        <v/>
      </c>
      <c r="N181" s="22" t="n"/>
      <c r="O181" s="22" t="n"/>
      <c r="P181" s="22" t="n"/>
      <c r="Q181" s="22" t="n"/>
      <c r="R181" s="22" t="n"/>
    </row>
    <row r="182">
      <c r="A182" s="7">
        <f>IFERROR(__xludf.DUMMYFUNCTION("""COMPUTED_VALUE"""),179)</f>
        <v/>
      </c>
      <c r="B182" s="8">
        <f>IFERROR(__xludf.DUMMYFUNCTION("""COMPUTED_VALUE"""),"Unity")</f>
        <v/>
      </c>
      <c r="C182" s="51" t="n"/>
      <c r="D182" s="8">
        <f>IFERROR(__xludf.DUMMYFUNCTION("""COMPUTED_VALUE"""),"PTNV")</f>
        <v/>
      </c>
      <c r="E182" s="8">
        <f>IFERROR(__xludf.DUMMYFUNCTION("""COMPUTED_VALUE"""),"PTNV")</f>
        <v/>
      </c>
      <c r="F182" s="15">
        <f>IFERROR(__xludf.DUMMYFUNCTION("""COMPUTED_VALUE"""),"xx")</f>
        <v/>
      </c>
      <c r="G182" s="8">
        <f>IFERROR(__xludf.DUMMYFUNCTION("""COMPUTED_VALUE"""),"Other")</f>
        <v/>
      </c>
      <c r="H182" s="8">
        <f>IFERROR(__xludf.DUMMYFUNCTION("""COMPUTED_VALUE"""),"Other")</f>
        <v/>
      </c>
      <c r="I182" s="16">
        <f>IFERROR(__xludf.DUMMYFUNCTION("""COMPUTED_VALUE"""),"Buổi tập")</f>
        <v/>
      </c>
      <c r="J182" s="16" t="n"/>
      <c r="K182" s="48">
        <f>IFERROR(__xludf.DUMMYFUNCTION("""COMPUTED_VALUE"""),100000)</f>
        <v/>
      </c>
      <c r="L182" s="46" t="n"/>
      <c r="M182" s="15">
        <f>IFERROR(__xludf.DUMMYFUNCTION("""COMPUTED_VALUE"""),"")</f>
        <v/>
      </c>
      <c r="N182" s="22" t="n"/>
      <c r="O182" s="22" t="n"/>
      <c r="P182" s="22" t="n"/>
      <c r="Q182" s="22" t="n"/>
      <c r="R182" s="22" t="n"/>
    </row>
    <row r="183">
      <c r="A183" s="7">
        <f>IFERROR(__xludf.DUMMYFUNCTION("""COMPUTED_VALUE"""),180)</f>
        <v/>
      </c>
      <c r="B183" s="8">
        <f>IFERROR(__xludf.DUMMYFUNCTION("""COMPUTED_VALUE"""),"Unity")</f>
        <v/>
      </c>
      <c r="C183" s="51">
        <f>IFERROR(__xludf.DUMMYFUNCTION("""COMPUTED_VALUE"""),"Bơi ếch chưa có MBS")</f>
        <v/>
      </c>
      <c r="D183" s="8" t="n"/>
      <c r="E183" s="8">
        <f>IFERROR(__xludf.DUMMYFUNCTION("""COMPUTED_VALUE"""),"BE10B.")</f>
        <v/>
      </c>
      <c r="F183" s="15">
        <f>IFERROR(__xludf.DUMMYFUNCTION("""COMPUTED_VALUE"""),"xx")</f>
        <v/>
      </c>
      <c r="G183" s="8">
        <f>IFERROR(__xludf.DUMMYFUNCTION("""COMPUTED_VALUE"""),"PT")</f>
        <v/>
      </c>
      <c r="H183" s="8">
        <f>IFERROR(__xludf.DUMMYFUNCTION("""COMPUTED_VALUE"""),"PT")</f>
        <v/>
      </c>
      <c r="I183" s="16">
        <f>IFERROR(__xludf.DUMMYFUNCTION("""COMPUTED_VALUE"""),"10 buổi")</f>
        <v/>
      </c>
      <c r="J183" s="16">
        <f>IFERROR(__xludf.DUMMYFUNCTION("""COMPUTED_VALUE"""),"10 buổi")</f>
        <v/>
      </c>
      <c r="K183" s="48">
        <f>IFERROR(__xludf.DUMMYFUNCTION("""COMPUTED_VALUE"""),3200000)</f>
        <v/>
      </c>
      <c r="L183" s="46" t="n"/>
      <c r="M183" s="15" t="n"/>
      <c r="N183" s="22" t="n"/>
      <c r="O183" s="22" t="n"/>
      <c r="P183" s="22" t="n"/>
      <c r="Q183" s="22" t="n"/>
      <c r="R183" s="22" t="n"/>
    </row>
    <row r="184">
      <c r="A184" s="7">
        <f>IFERROR(__xludf.DUMMYFUNCTION("""COMPUTED_VALUE"""),181)</f>
        <v/>
      </c>
      <c r="B184" s="8">
        <f>IFERROR(__xludf.DUMMYFUNCTION("""COMPUTED_VALUE"""),"Unity")</f>
        <v/>
      </c>
      <c r="C184" s="51">
        <f>IFERROR(__xludf.DUMMYFUNCTION("""COMPUTED_VALUE"""),"Thẻ Gold: Sử dụng dịch vụ Fitness (phòng gym, lớp group X) và Bể bơi, locker, phòng xông hơi, bể sục")</f>
        <v/>
      </c>
      <c r="D184" s="8">
        <f>IFERROR(__xludf.DUMMYFUNCTION("""COMPUTED_VALUE"""),"UG24 ")</f>
        <v/>
      </c>
      <c r="E184" s="8">
        <f>IFERROR(__xludf.DUMMYFUNCTION("""COMPUTED_VALUE"""),"UG24 ")</f>
        <v/>
      </c>
      <c r="F184" s="15">
        <f>IFERROR(__xludf.DUMMYFUNCTION("""COMPUTED_VALUE"""),"x")</f>
        <v/>
      </c>
      <c r="G184" s="8">
        <f>IFERROR(__xludf.DUMMYFUNCTION("""COMPUTED_VALUE"""),"MBS")</f>
        <v/>
      </c>
      <c r="H184" s="8">
        <f>IFERROR(__xludf.DUMMYFUNCTION("""COMPUTED_VALUE"""),"MBS")</f>
        <v/>
      </c>
      <c r="I184" s="16">
        <f>IFERROR(__xludf.DUMMYFUNCTION("""COMPUTED_VALUE"""),"24 tháng")</f>
        <v/>
      </c>
      <c r="J184" s="16">
        <f>IFERROR(__xludf.DUMMYFUNCTION("""COMPUTED_VALUE"""),"24 tháng")</f>
        <v/>
      </c>
      <c r="K184" s="48">
        <f>IFERROR(__xludf.DUMMYFUNCTION("""COMPUTED_VALUE"""),38000000)</f>
        <v/>
      </c>
      <c r="L184" s="46" t="n"/>
      <c r="M184" s="15">
        <f>IFERROR(__xludf.DUMMYFUNCTION("""COMPUTED_VALUE"""),"")</f>
        <v/>
      </c>
      <c r="N184" s="22" t="n"/>
      <c r="O184" s="22" t="n"/>
      <c r="P184" s="22" t="n"/>
      <c r="Q184" s="22" t="n"/>
      <c r="R184" s="22" t="n"/>
    </row>
    <row r="185">
      <c r="A185" s="7">
        <f>IFERROR(__xludf.DUMMYFUNCTION("""COMPUTED_VALUE"""),182)</f>
        <v/>
      </c>
      <c r="B185" s="8">
        <f>IFERROR(__xludf.DUMMYFUNCTION("""COMPUTED_VALUE"""),"Unity")</f>
        <v/>
      </c>
      <c r="C185" s="51" t="n"/>
      <c r="D185" s="8">
        <f>IFERROR(__xludf.DUMMYFUNCTION("""COMPUTED_VALUE"""),"UG12 ")</f>
        <v/>
      </c>
      <c r="E185" s="8">
        <f>IFERROR(__xludf.DUMMYFUNCTION("""COMPUTED_VALUE"""),"UG12 ")</f>
        <v/>
      </c>
      <c r="F185" s="15">
        <f>IFERROR(__xludf.DUMMYFUNCTION("""COMPUTED_VALUE"""),"x")</f>
        <v/>
      </c>
      <c r="G185" s="8">
        <f>IFERROR(__xludf.DUMMYFUNCTION("""COMPUTED_VALUE"""),"MBS")</f>
        <v/>
      </c>
      <c r="H185" s="8">
        <f>IFERROR(__xludf.DUMMYFUNCTION("""COMPUTED_VALUE"""),"MBS")</f>
        <v/>
      </c>
      <c r="I185" s="16">
        <f>IFERROR(__xludf.DUMMYFUNCTION("""COMPUTED_VALUE"""),"12 tháng")</f>
        <v/>
      </c>
      <c r="J185" s="16">
        <f>IFERROR(__xludf.DUMMYFUNCTION("""COMPUTED_VALUE"""),"12 tháng")</f>
        <v/>
      </c>
      <c r="K185" s="48">
        <f>IFERROR(__xludf.DUMMYFUNCTION("""COMPUTED_VALUE"""),24500000)</f>
        <v/>
      </c>
      <c r="L185" s="46" t="n"/>
      <c r="M185" s="15">
        <f>IFERROR(__xludf.DUMMYFUNCTION("""COMPUTED_VALUE"""),"")</f>
        <v/>
      </c>
      <c r="N185" s="22" t="n"/>
      <c r="O185" s="22" t="n"/>
      <c r="P185" s="22" t="n"/>
      <c r="Q185" s="22" t="n"/>
      <c r="R185" s="22" t="n"/>
    </row>
    <row r="186">
      <c r="A186" s="7">
        <f>IFERROR(__xludf.DUMMYFUNCTION("""COMPUTED_VALUE"""),183)</f>
        <v/>
      </c>
      <c r="B186" s="8">
        <f>IFERROR(__xludf.DUMMYFUNCTION("""COMPUTED_VALUE"""),"Unity")</f>
        <v/>
      </c>
      <c r="C186" s="51" t="n"/>
      <c r="D186" s="8">
        <f>IFERROR(__xludf.DUMMYFUNCTION("""COMPUTED_VALUE"""),"UG06 ")</f>
        <v/>
      </c>
      <c r="E186" s="8">
        <f>IFERROR(__xludf.DUMMYFUNCTION("""COMPUTED_VALUE"""),"UG06 ")</f>
        <v/>
      </c>
      <c r="F186" s="15">
        <f>IFERROR(__xludf.DUMMYFUNCTION("""COMPUTED_VALUE"""),"x")</f>
        <v/>
      </c>
      <c r="G186" s="8">
        <f>IFERROR(__xludf.DUMMYFUNCTION("""COMPUTED_VALUE"""),"MBS")</f>
        <v/>
      </c>
      <c r="H186" s="8">
        <f>IFERROR(__xludf.DUMMYFUNCTION("""COMPUTED_VALUE"""),"MBS")</f>
        <v/>
      </c>
      <c r="I186" s="16">
        <f>IFERROR(__xludf.DUMMYFUNCTION("""COMPUTED_VALUE"""),"6 tháng")</f>
        <v/>
      </c>
      <c r="J186" s="16">
        <f>IFERROR(__xludf.DUMMYFUNCTION("""COMPUTED_VALUE"""),"6 tháng")</f>
        <v/>
      </c>
      <c r="K186" s="48">
        <f>IFERROR(__xludf.DUMMYFUNCTION("""COMPUTED_VALUE"""),15000000)</f>
        <v/>
      </c>
      <c r="L186" s="46" t="n"/>
      <c r="M186" s="15">
        <f>IFERROR(__xludf.DUMMYFUNCTION("""COMPUTED_VALUE"""),"")</f>
        <v/>
      </c>
      <c r="N186" s="22" t="n"/>
      <c r="O186" s="22" t="n"/>
      <c r="P186" s="22" t="n"/>
      <c r="Q186" s="22" t="n"/>
      <c r="R186" s="22" t="n"/>
    </row>
    <row r="187">
      <c r="A187" s="7">
        <f>IFERROR(__xludf.DUMMYFUNCTION("""COMPUTED_VALUE"""),184)</f>
        <v/>
      </c>
      <c r="B187" s="8">
        <f>IFERROR(__xludf.DUMMYFUNCTION("""COMPUTED_VALUE"""),"Unity")</f>
        <v/>
      </c>
      <c r="C187" s="51" t="n"/>
      <c r="D187" s="8">
        <f>IFERROR(__xludf.DUMMYFUNCTION("""COMPUTED_VALUE"""),"UG03 ")</f>
        <v/>
      </c>
      <c r="E187" s="8">
        <f>IFERROR(__xludf.DUMMYFUNCTION("""COMPUTED_VALUE"""),"UG03 ")</f>
        <v/>
      </c>
      <c r="F187" s="15">
        <f>IFERROR(__xludf.DUMMYFUNCTION("""COMPUTED_VALUE"""),"x")</f>
        <v/>
      </c>
      <c r="G187" s="8">
        <f>IFERROR(__xludf.DUMMYFUNCTION("""COMPUTED_VALUE"""),"MBS")</f>
        <v/>
      </c>
      <c r="H187" s="8">
        <f>IFERROR(__xludf.DUMMYFUNCTION("""COMPUTED_VALUE"""),"MBS")</f>
        <v/>
      </c>
      <c r="I187" s="16">
        <f>IFERROR(__xludf.DUMMYFUNCTION("""COMPUTED_VALUE"""),"3 tháng")</f>
        <v/>
      </c>
      <c r="J187" s="16">
        <f>IFERROR(__xludf.DUMMYFUNCTION("""COMPUTED_VALUE"""),"3 tháng")</f>
        <v/>
      </c>
      <c r="K187" s="48">
        <f>IFERROR(__xludf.DUMMYFUNCTION("""COMPUTED_VALUE"""),8000000)</f>
        <v/>
      </c>
      <c r="L187" s="46" t="n"/>
      <c r="M187" s="15">
        <f>IFERROR(__xludf.DUMMYFUNCTION("""COMPUTED_VALUE"""),"")</f>
        <v/>
      </c>
      <c r="N187" s="22" t="n"/>
      <c r="O187" s="22" t="n"/>
      <c r="P187" s="22" t="n"/>
      <c r="Q187" s="22" t="n"/>
      <c r="R187" s="22" t="n"/>
    </row>
    <row r="188">
      <c r="A188" s="7">
        <f>IFERROR(__xludf.DUMMYFUNCTION("""COMPUTED_VALUE"""),185)</f>
        <v/>
      </c>
      <c r="B188" s="8">
        <f>IFERROR(__xludf.DUMMYFUNCTION("""COMPUTED_VALUE"""),"Unity")</f>
        <v/>
      </c>
      <c r="C188" s="51" t="n"/>
      <c r="D188" s="8">
        <f>IFERROR(__xludf.DUMMYFUNCTION("""COMPUTED_VALUE"""),"UG01 ")</f>
        <v/>
      </c>
      <c r="E188" s="8">
        <f>IFERROR(__xludf.DUMMYFUNCTION("""COMPUTED_VALUE"""),"UG01 ")</f>
        <v/>
      </c>
      <c r="F188" s="15">
        <f>IFERROR(__xludf.DUMMYFUNCTION("""COMPUTED_VALUE"""),"x")</f>
        <v/>
      </c>
      <c r="G188" s="8">
        <f>IFERROR(__xludf.DUMMYFUNCTION("""COMPUTED_VALUE"""),"MBS")</f>
        <v/>
      </c>
      <c r="H188" s="8">
        <f>IFERROR(__xludf.DUMMYFUNCTION("""COMPUTED_VALUE"""),"MBS")</f>
        <v/>
      </c>
      <c r="I188" s="16">
        <f>IFERROR(__xludf.DUMMYFUNCTION("""COMPUTED_VALUE"""),"1 tháng")</f>
        <v/>
      </c>
      <c r="J188" s="16">
        <f>IFERROR(__xludf.DUMMYFUNCTION("""COMPUTED_VALUE"""),"1 tháng")</f>
        <v/>
      </c>
      <c r="K188" s="48">
        <f>IFERROR(__xludf.DUMMYFUNCTION("""COMPUTED_VALUE"""),3500000)</f>
        <v/>
      </c>
      <c r="L188" s="46" t="n"/>
      <c r="M188" s="15">
        <f>IFERROR(__xludf.DUMMYFUNCTION("""COMPUTED_VALUE"""),"")</f>
        <v/>
      </c>
      <c r="N188" s="22" t="n"/>
      <c r="O188" s="22" t="n"/>
      <c r="P188" s="22" t="n"/>
      <c r="Q188" s="22" t="n"/>
      <c r="R188" s="22" t="n"/>
    </row>
    <row r="189">
      <c r="A189" s="7">
        <f>IFERROR(__xludf.DUMMYFUNCTION("""COMPUTED_VALUE"""),186)</f>
        <v/>
      </c>
      <c r="B189" s="8">
        <f>IFERROR(__xludf.DUMMYFUNCTION("""COMPUTED_VALUE"""),"Unity")</f>
        <v/>
      </c>
      <c r="C189" s="51">
        <f>IFERROR(__xludf.DUMMYFUNCTION("""COMPUTED_VALUE"""),"OFF-PEAK MEMBERSHIP khung giờ từ 8h00 sáng đến trước 16h00 chiều")</f>
        <v/>
      </c>
      <c r="D189" s="8">
        <f>IFERROR(__xludf.DUMMYFUNCTION("""COMPUTED_VALUE"""),"OP03 ")</f>
        <v/>
      </c>
      <c r="E189" s="8">
        <f>IFERROR(__xludf.DUMMYFUNCTION("""COMPUTED_VALUE"""),"OP03 ")</f>
        <v/>
      </c>
      <c r="F189" s="15">
        <f>IFERROR(__xludf.DUMMYFUNCTION("""COMPUTED_VALUE"""),"x")</f>
        <v/>
      </c>
      <c r="G189" s="8">
        <f>IFERROR(__xludf.DUMMYFUNCTION("""COMPUTED_VALUE"""),"MBS")</f>
        <v/>
      </c>
      <c r="H189" s="8">
        <f>IFERROR(__xludf.DUMMYFUNCTION("""COMPUTED_VALUE"""),"MBS")</f>
        <v/>
      </c>
      <c r="I189" s="16">
        <f>IFERROR(__xludf.DUMMYFUNCTION("""COMPUTED_VALUE"""),"3 tháng")</f>
        <v/>
      </c>
      <c r="J189" s="16">
        <f>IFERROR(__xludf.DUMMYFUNCTION("""COMPUTED_VALUE"""),"3 tháng")</f>
        <v/>
      </c>
      <c r="K189" s="48">
        <f>IFERROR(__xludf.DUMMYFUNCTION("""COMPUTED_VALUE"""),5000000)</f>
        <v/>
      </c>
      <c r="L189" s="46" t="n"/>
      <c r="M189" s="15">
        <f>IFERROR(__xludf.DUMMYFUNCTION("""COMPUTED_VALUE"""),"")</f>
        <v/>
      </c>
      <c r="N189" s="22" t="n"/>
      <c r="O189" s="22" t="n"/>
      <c r="P189" s="22" t="n"/>
      <c r="Q189" s="22" t="n"/>
      <c r="R189" s="22" t="n"/>
    </row>
    <row r="190">
      <c r="A190" s="7">
        <f>IFERROR(__xludf.DUMMYFUNCTION("""COMPUTED_VALUE"""),187)</f>
        <v/>
      </c>
      <c r="B190" s="8">
        <f>IFERROR(__xludf.DUMMYFUNCTION("""COMPUTED_VALUE"""),"Unity")</f>
        <v/>
      </c>
      <c r="C190" s="51" t="n"/>
      <c r="D190" s="8">
        <f>IFERROR(__xludf.DUMMYFUNCTION("""COMPUTED_VALUE"""),"OP06 ")</f>
        <v/>
      </c>
      <c r="E190" s="8">
        <f>IFERROR(__xludf.DUMMYFUNCTION("""COMPUTED_VALUE"""),"OP06 ")</f>
        <v/>
      </c>
      <c r="F190" s="15">
        <f>IFERROR(__xludf.DUMMYFUNCTION("""COMPUTED_VALUE"""),"x")</f>
        <v/>
      </c>
      <c r="G190" s="8">
        <f>IFERROR(__xludf.DUMMYFUNCTION("""COMPUTED_VALUE"""),"MBS")</f>
        <v/>
      </c>
      <c r="H190" s="8">
        <f>IFERROR(__xludf.DUMMYFUNCTION("""COMPUTED_VALUE"""),"MBS")</f>
        <v/>
      </c>
      <c r="I190" s="16">
        <f>IFERROR(__xludf.DUMMYFUNCTION("""COMPUTED_VALUE"""),"6 tháng")</f>
        <v/>
      </c>
      <c r="J190" s="16">
        <f>IFERROR(__xludf.DUMMYFUNCTION("""COMPUTED_VALUE"""),"6 tháng")</f>
        <v/>
      </c>
      <c r="K190" s="48">
        <f>IFERROR(__xludf.DUMMYFUNCTION("""COMPUTED_VALUE"""),9000000)</f>
        <v/>
      </c>
      <c r="L190" s="46" t="n"/>
      <c r="M190" s="15">
        <f>IFERROR(__xludf.DUMMYFUNCTION("""COMPUTED_VALUE"""),"")</f>
        <v/>
      </c>
      <c r="N190" s="22" t="n"/>
      <c r="O190" s="22" t="n"/>
      <c r="P190" s="22" t="n"/>
      <c r="Q190" s="22" t="n"/>
      <c r="R190" s="22" t="n"/>
    </row>
    <row r="191">
      <c r="A191" s="7">
        <f>IFERROR(__xludf.DUMMYFUNCTION("""COMPUTED_VALUE"""),188)</f>
        <v/>
      </c>
      <c r="B191" s="8">
        <f>IFERROR(__xludf.DUMMYFUNCTION("""COMPUTED_VALUE"""),"Unity")</f>
        <v/>
      </c>
      <c r="C191" s="51" t="n"/>
      <c r="D191" s="8">
        <f>IFERROR(__xludf.DUMMYFUNCTION("""COMPUTED_VALUE"""),"OP12 ")</f>
        <v/>
      </c>
      <c r="E191" s="8">
        <f>IFERROR(__xludf.DUMMYFUNCTION("""COMPUTED_VALUE"""),"OP12 ")</f>
        <v/>
      </c>
      <c r="F191" s="15">
        <f>IFERROR(__xludf.DUMMYFUNCTION("""COMPUTED_VALUE"""),"x")</f>
        <v/>
      </c>
      <c r="G191" s="8">
        <f>IFERROR(__xludf.DUMMYFUNCTION("""COMPUTED_VALUE"""),"MBS")</f>
        <v/>
      </c>
      <c r="H191" s="8">
        <f>IFERROR(__xludf.DUMMYFUNCTION("""COMPUTED_VALUE"""),"MBS")</f>
        <v/>
      </c>
      <c r="I191" s="16">
        <f>IFERROR(__xludf.DUMMYFUNCTION("""COMPUTED_VALUE"""),"12 tháng")</f>
        <v/>
      </c>
      <c r="J191" s="16">
        <f>IFERROR(__xludf.DUMMYFUNCTION("""COMPUTED_VALUE"""),"12 tháng")</f>
        <v/>
      </c>
      <c r="K191" s="48">
        <f>IFERROR(__xludf.DUMMYFUNCTION("""COMPUTED_VALUE"""),15000000)</f>
        <v/>
      </c>
      <c r="L191" s="46" t="n"/>
      <c r="M191" s="15">
        <f>IFERROR(__xludf.DUMMYFUNCTION("""COMPUTED_VALUE"""),"")</f>
        <v/>
      </c>
      <c r="N191" s="22" t="n"/>
      <c r="O191" s="22" t="n"/>
      <c r="P191" s="22" t="n"/>
      <c r="Q191" s="22" t="n"/>
      <c r="R191" s="22" t="n"/>
    </row>
    <row r="192">
      <c r="A192" s="7">
        <f>IFERROR(__xludf.DUMMYFUNCTION("""COMPUTED_VALUE"""),189)</f>
        <v/>
      </c>
      <c r="B192" s="8">
        <f>IFERROR(__xludf.DUMMYFUNCTION("""COMPUTED_VALUE"""),"Unity")</f>
        <v/>
      </c>
      <c r="C192" s="51" t="n"/>
      <c r="D192" s="8">
        <f>IFERROR(__xludf.DUMMYFUNCTION("""COMPUTED_VALUE"""),"OP24 ")</f>
        <v/>
      </c>
      <c r="E192" s="8">
        <f>IFERROR(__xludf.DUMMYFUNCTION("""COMPUTED_VALUE"""),"OP24 ")</f>
        <v/>
      </c>
      <c r="F192" s="15">
        <f>IFERROR(__xludf.DUMMYFUNCTION("""COMPUTED_VALUE"""),"x")</f>
        <v/>
      </c>
      <c r="G192" s="8">
        <f>IFERROR(__xludf.DUMMYFUNCTION("""COMPUTED_VALUE"""),"MBS")</f>
        <v/>
      </c>
      <c r="H192" s="8">
        <f>IFERROR(__xludf.DUMMYFUNCTION("""COMPUTED_VALUE"""),"MBS")</f>
        <v/>
      </c>
      <c r="I192" s="16">
        <f>IFERROR(__xludf.DUMMYFUNCTION("""COMPUTED_VALUE"""),"24 tháng")</f>
        <v/>
      </c>
      <c r="J192" s="16">
        <f>IFERROR(__xludf.DUMMYFUNCTION("""COMPUTED_VALUE"""),"24 tháng")</f>
        <v/>
      </c>
      <c r="K192" s="48">
        <f>IFERROR(__xludf.DUMMYFUNCTION("""COMPUTED_VALUE"""),22500000)</f>
        <v/>
      </c>
      <c r="L192" s="46" t="n"/>
      <c r="M192" s="15">
        <f>IFERROR(__xludf.DUMMYFUNCTION("""COMPUTED_VALUE"""),"")</f>
        <v/>
      </c>
      <c r="N192" s="22" t="n"/>
      <c r="O192" s="22" t="n"/>
      <c r="P192" s="22" t="n"/>
      <c r="Q192" s="22" t="n"/>
      <c r="R192" s="22" t="n"/>
    </row>
    <row r="193">
      <c r="A193" s="7">
        <f>IFERROR(__xludf.DUMMYFUNCTION("""COMPUTED_VALUE"""),190)</f>
        <v/>
      </c>
      <c r="B193" s="8">
        <f>IFERROR(__xludf.DUMMYFUNCTION("""COMPUTED_VALUE"""),"Unity")</f>
        <v/>
      </c>
      <c r="C193" s="51">
        <f>IFERROR(__xludf.DUMMYFUNCTION("""COMPUTED_VALUE"""),"Weekend Packega 12 tháng Full dịch vụ")</f>
        <v/>
      </c>
      <c r="D193" s="8">
        <f>IFERROR(__xludf.DUMMYFUNCTION("""COMPUTED_VALUE"""),"WK12 ")</f>
        <v/>
      </c>
      <c r="E193" s="8">
        <f>IFERROR(__xludf.DUMMYFUNCTION("""COMPUTED_VALUE"""),"WK12 ")</f>
        <v/>
      </c>
      <c r="F193" s="15">
        <f>IFERROR(__xludf.DUMMYFUNCTION("""COMPUTED_VALUE"""),"x")</f>
        <v/>
      </c>
      <c r="G193" s="8">
        <f>IFERROR(__xludf.DUMMYFUNCTION("""COMPUTED_VALUE"""),"MBS")</f>
        <v/>
      </c>
      <c r="H193" s="8">
        <f>IFERROR(__xludf.DUMMYFUNCTION("""COMPUTED_VALUE"""),"MBS")</f>
        <v/>
      </c>
      <c r="I193" s="16">
        <f>IFERROR(__xludf.DUMMYFUNCTION("""COMPUTED_VALUE"""),"12 tháng")</f>
        <v/>
      </c>
      <c r="J193" s="16">
        <f>IFERROR(__xludf.DUMMYFUNCTION("""COMPUTED_VALUE"""),"12 tháng")</f>
        <v/>
      </c>
      <c r="K193" s="48">
        <f>IFERROR(__xludf.DUMMYFUNCTION("""COMPUTED_VALUE"""),12200000)</f>
        <v/>
      </c>
      <c r="L193" s="46" t="n"/>
      <c r="M193" s="15" t="n"/>
      <c r="N193" s="22" t="n"/>
      <c r="O193" s="22" t="n"/>
      <c r="P193" s="22" t="n"/>
      <c r="Q193" s="22" t="n"/>
      <c r="R193" s="22" t="n"/>
    </row>
    <row r="194">
      <c r="A194" s="7">
        <f>IFERROR(__xludf.DUMMYFUNCTION("""COMPUTED_VALUE"""),191)</f>
        <v/>
      </c>
      <c r="B194" s="8">
        <f>IFERROR(__xludf.DUMMYFUNCTION("""COMPUTED_VALUE"""),"Unity")</f>
        <v/>
      </c>
      <c r="C194" s="51">
        <f>IFERROR(__xludf.DUMMYFUNCTION("""COMPUTED_VALUE"""),"Weekend Packega 24 tháng Full dịch vụ")</f>
        <v/>
      </c>
      <c r="D194" s="8">
        <f>IFERROR(__xludf.DUMMYFUNCTION("""COMPUTED_VALUE"""),"WK24 ")</f>
        <v/>
      </c>
      <c r="E194" s="8">
        <f>IFERROR(__xludf.DUMMYFUNCTION("""COMPUTED_VALUE"""),"WK24 ")</f>
        <v/>
      </c>
      <c r="F194" s="15">
        <f>IFERROR(__xludf.DUMMYFUNCTION("""COMPUTED_VALUE"""),"x")</f>
        <v/>
      </c>
      <c r="G194" s="8">
        <f>IFERROR(__xludf.DUMMYFUNCTION("""COMPUTED_VALUE"""),"MBS")</f>
        <v/>
      </c>
      <c r="H194" s="8">
        <f>IFERROR(__xludf.DUMMYFUNCTION("""COMPUTED_VALUE"""),"MBS")</f>
        <v/>
      </c>
      <c r="I194" s="16">
        <f>IFERROR(__xludf.DUMMYFUNCTION("""COMPUTED_VALUE"""),"24 tháng")</f>
        <v/>
      </c>
      <c r="J194" s="16">
        <f>IFERROR(__xludf.DUMMYFUNCTION("""COMPUTED_VALUE"""),"24 tháng")</f>
        <v/>
      </c>
      <c r="K194" s="48">
        <f>IFERROR(__xludf.DUMMYFUNCTION("""COMPUTED_VALUE"""),19000000)</f>
        <v/>
      </c>
      <c r="L194" s="46" t="n"/>
      <c r="M194" s="15" t="n"/>
      <c r="N194" s="22" t="n"/>
      <c r="O194" s="22" t="n"/>
      <c r="P194" s="22" t="n"/>
      <c r="Q194" s="22" t="n"/>
      <c r="R194" s="22" t="n"/>
    </row>
    <row r="195">
      <c r="A195" s="7">
        <f>IFERROR(__xludf.DUMMYFUNCTION("""COMPUTED_VALUE"""),192)</f>
        <v/>
      </c>
      <c r="B195" s="8">
        <f>IFERROR(__xludf.DUMMYFUNCTION("""COMPUTED_VALUE"""),"Unity")</f>
        <v/>
      </c>
      <c r="C195" s="51">
        <f>IFERROR(__xludf.DUMMYFUNCTION("""COMPUTED_VALUE"""),"Family gold 12 tháng")</f>
        <v/>
      </c>
      <c r="D195" s="8" t="n"/>
      <c r="E195" s="8">
        <f>IFERROR(__xludf.DUMMYFUNCTION("""COMPUTED_VALUE"""),"FML12.2.12 ")</f>
        <v/>
      </c>
      <c r="F195" s="15">
        <f>IFERROR(__xludf.DUMMYFUNCTION("""COMPUTED_VALUE"""),"x")</f>
        <v/>
      </c>
      <c r="G195" s="8">
        <f>IFERROR(__xludf.DUMMYFUNCTION("""COMPUTED_VALUE"""),"MBS")</f>
        <v/>
      </c>
      <c r="H195" s="8">
        <f>IFERROR(__xludf.DUMMYFUNCTION("""COMPUTED_VALUE"""),"MBS")</f>
        <v/>
      </c>
      <c r="I195" s="16">
        <f>IFERROR(__xludf.DUMMYFUNCTION("""COMPUTED_VALUE"""),"12 tháng")</f>
        <v/>
      </c>
      <c r="J195" s="16">
        <f>IFERROR(__xludf.DUMMYFUNCTION("""COMPUTED_VALUE"""),"Gia đình 2 người")</f>
        <v/>
      </c>
      <c r="K195" s="48">
        <f>IFERROR(__xludf.DUMMYFUNCTION("""COMPUTED_VALUE"""),24000000)</f>
        <v/>
      </c>
      <c r="L195" s="46">
        <f>IFERROR(__xludf.DUMMYFUNCTION("""COMPUTED_VALUE"""),48000000)</f>
        <v/>
      </c>
      <c r="M195" s="15">
        <f>IFERROR(__xludf.DUMMYFUNCTION("""COMPUTED_VALUE"""),"Ngưng SD")</f>
        <v/>
      </c>
      <c r="N195" s="22">
        <f>IFERROR(__xludf.DUMMYFUNCTION("""COMPUTED_VALUE"""),2)</f>
        <v/>
      </c>
      <c r="O195" s="22" t="n"/>
      <c r="P195" s="22" t="n"/>
      <c r="Q195" s="22" t="n"/>
      <c r="R195" s="22" t="n"/>
    </row>
    <row r="196">
      <c r="A196" s="7">
        <f>IFERROR(__xludf.DUMMYFUNCTION("""COMPUTED_VALUE"""),193)</f>
        <v/>
      </c>
      <c r="B196" s="8">
        <f>IFERROR(__xludf.DUMMYFUNCTION("""COMPUTED_VALUE"""),"Unity")</f>
        <v/>
      </c>
      <c r="C196" s="51" t="n"/>
      <c r="D196" s="8" t="n"/>
      <c r="E196" s="8">
        <f>IFERROR(__xludf.DUMMYFUNCTION("""COMPUTED_VALUE"""),"FML12.3.12 ")</f>
        <v/>
      </c>
      <c r="F196" s="15">
        <f>IFERROR(__xludf.DUMMYFUNCTION("""COMPUTED_VALUE"""),"x")</f>
        <v/>
      </c>
      <c r="G196" s="8">
        <f>IFERROR(__xludf.DUMMYFUNCTION("""COMPUTED_VALUE"""),"MBS")</f>
        <v/>
      </c>
      <c r="H196" s="8">
        <f>IFERROR(__xludf.DUMMYFUNCTION("""COMPUTED_VALUE"""),"MBS")</f>
        <v/>
      </c>
      <c r="I196" s="16">
        <f>IFERROR(__xludf.DUMMYFUNCTION("""COMPUTED_VALUE"""),"12 tháng")</f>
        <v/>
      </c>
      <c r="J196" s="16">
        <f>IFERROR(__xludf.DUMMYFUNCTION("""COMPUTED_VALUE"""),"Gia đình 3 người")</f>
        <v/>
      </c>
      <c r="K196" s="48">
        <f>IFERROR(__xludf.DUMMYFUNCTION("""COMPUTED_VALUE"""),23000000)</f>
        <v/>
      </c>
      <c r="L196" s="46">
        <f>IFERROR(__xludf.DUMMYFUNCTION("""COMPUTED_VALUE"""),69000000)</f>
        <v/>
      </c>
      <c r="M196" s="15">
        <f>IFERROR(__xludf.DUMMYFUNCTION("""COMPUTED_VALUE"""),"Ngưng SD")</f>
        <v/>
      </c>
      <c r="N196" s="22">
        <f>IFERROR(__xludf.DUMMYFUNCTION("""COMPUTED_VALUE"""),3)</f>
        <v/>
      </c>
      <c r="O196" s="22" t="n"/>
      <c r="P196" s="22" t="n"/>
      <c r="Q196" s="22" t="n"/>
      <c r="R196" s="22" t="n"/>
    </row>
    <row r="197">
      <c r="A197" s="7">
        <f>IFERROR(__xludf.DUMMYFUNCTION("""COMPUTED_VALUE"""),194)</f>
        <v/>
      </c>
      <c r="B197" s="8">
        <f>IFERROR(__xludf.DUMMYFUNCTION("""COMPUTED_VALUE"""),"Unity")</f>
        <v/>
      </c>
      <c r="C197" s="51" t="n"/>
      <c r="D197" s="8" t="n"/>
      <c r="E197" s="8">
        <f>IFERROR(__xludf.DUMMYFUNCTION("""COMPUTED_VALUE"""),"FML12.4.12 ")</f>
        <v/>
      </c>
      <c r="F197" s="15">
        <f>IFERROR(__xludf.DUMMYFUNCTION("""COMPUTED_VALUE"""),"x")</f>
        <v/>
      </c>
      <c r="G197" s="8">
        <f>IFERROR(__xludf.DUMMYFUNCTION("""COMPUTED_VALUE"""),"MBS")</f>
        <v/>
      </c>
      <c r="H197" s="8">
        <f>IFERROR(__xludf.DUMMYFUNCTION("""COMPUTED_VALUE"""),"MBS")</f>
        <v/>
      </c>
      <c r="I197" s="16">
        <f>IFERROR(__xludf.DUMMYFUNCTION("""COMPUTED_VALUE"""),"12 tháng")</f>
        <v/>
      </c>
      <c r="J197" s="16">
        <f>IFERROR(__xludf.DUMMYFUNCTION("""COMPUTED_VALUE"""),"Gia đình 4 người")</f>
        <v/>
      </c>
      <c r="K197" s="48">
        <f>IFERROR(__xludf.DUMMYFUNCTION("""COMPUTED_VALUE"""),22500000)</f>
        <v/>
      </c>
      <c r="L197" s="46">
        <f>IFERROR(__xludf.DUMMYFUNCTION("""COMPUTED_VALUE"""),90000000)</f>
        <v/>
      </c>
      <c r="M197" s="15">
        <f>IFERROR(__xludf.DUMMYFUNCTION("""COMPUTED_VALUE"""),"Ngưng SD")</f>
        <v/>
      </c>
      <c r="N197" s="22">
        <f>IFERROR(__xludf.DUMMYFUNCTION("""COMPUTED_VALUE"""),4)</f>
        <v/>
      </c>
      <c r="O197" s="22" t="n"/>
      <c r="P197" s="22" t="n"/>
      <c r="Q197" s="22" t="n"/>
      <c r="R197" s="22" t="n"/>
    </row>
    <row r="198">
      <c r="A198" s="7">
        <f>IFERROR(__xludf.DUMMYFUNCTION("""COMPUTED_VALUE"""),195)</f>
        <v/>
      </c>
      <c r="B198" s="8">
        <f>IFERROR(__xludf.DUMMYFUNCTION("""COMPUTED_VALUE"""),"Unity")</f>
        <v/>
      </c>
      <c r="C198" s="51" t="n"/>
      <c r="D198" s="8" t="n"/>
      <c r="E198" s="8">
        <f>IFERROR(__xludf.DUMMYFUNCTION("""COMPUTED_VALUE"""),"FML12.5.12 ")</f>
        <v/>
      </c>
      <c r="F198" s="15">
        <f>IFERROR(__xludf.DUMMYFUNCTION("""COMPUTED_VALUE"""),"x")</f>
        <v/>
      </c>
      <c r="G198" s="8">
        <f>IFERROR(__xludf.DUMMYFUNCTION("""COMPUTED_VALUE"""),"MBS")</f>
        <v/>
      </c>
      <c r="H198" s="8">
        <f>IFERROR(__xludf.DUMMYFUNCTION("""COMPUTED_VALUE"""),"MBS")</f>
        <v/>
      </c>
      <c r="I198" s="16">
        <f>IFERROR(__xludf.DUMMYFUNCTION("""COMPUTED_VALUE"""),"12 tháng")</f>
        <v/>
      </c>
      <c r="J198" s="16">
        <f>IFERROR(__xludf.DUMMYFUNCTION("""COMPUTED_VALUE"""),"Gia đình 5 người")</f>
        <v/>
      </c>
      <c r="K198" s="48">
        <f>IFERROR(__xludf.DUMMYFUNCTION("""COMPUTED_VALUE"""),22000000)</f>
        <v/>
      </c>
      <c r="L198" s="46">
        <f>IFERROR(__xludf.DUMMYFUNCTION("""COMPUTED_VALUE"""),110000000)</f>
        <v/>
      </c>
      <c r="M198" s="15">
        <f>IFERROR(__xludf.DUMMYFUNCTION("""COMPUTED_VALUE"""),"Ngưng SD")</f>
        <v/>
      </c>
      <c r="N198" s="22">
        <f>IFERROR(__xludf.DUMMYFUNCTION("""COMPUTED_VALUE"""),5)</f>
        <v/>
      </c>
      <c r="O198" s="22" t="n"/>
      <c r="P198" s="22" t="n"/>
      <c r="Q198" s="22" t="n"/>
      <c r="R198" s="22" t="n"/>
    </row>
    <row r="199">
      <c r="A199" s="7">
        <f>IFERROR(__xludf.DUMMYFUNCTION("""COMPUTED_VALUE"""),196)</f>
        <v/>
      </c>
      <c r="B199" s="8">
        <f>IFERROR(__xludf.DUMMYFUNCTION("""COMPUTED_VALUE"""),"Unity")</f>
        <v/>
      </c>
      <c r="C199" s="51">
        <f>IFERROR(__xludf.DUMMYFUNCTION("""COMPUTED_VALUE"""),"Family gold 24 tháng")</f>
        <v/>
      </c>
      <c r="D199" s="8" t="n"/>
      <c r="E199" s="8">
        <f>IFERROR(__xludf.DUMMYFUNCTION("""COMPUTED_VALUE"""),"FML24.2.24 ")</f>
        <v/>
      </c>
      <c r="F199" s="15">
        <f>IFERROR(__xludf.DUMMYFUNCTION("""COMPUTED_VALUE"""),"x")</f>
        <v/>
      </c>
      <c r="G199" s="8">
        <f>IFERROR(__xludf.DUMMYFUNCTION("""COMPUTED_VALUE"""),"MBS")</f>
        <v/>
      </c>
      <c r="H199" s="8">
        <f>IFERROR(__xludf.DUMMYFUNCTION("""COMPUTED_VALUE"""),"MBS")</f>
        <v/>
      </c>
      <c r="I199" s="16">
        <f>IFERROR(__xludf.DUMMYFUNCTION("""COMPUTED_VALUE"""),"24 tháng")</f>
        <v/>
      </c>
      <c r="J199" s="16">
        <f>IFERROR(__xludf.DUMMYFUNCTION("""COMPUTED_VALUE"""),"Gia đình 2 người")</f>
        <v/>
      </c>
      <c r="K199" s="48">
        <f>IFERROR(__xludf.DUMMYFUNCTION("""COMPUTED_VALUE"""),37000000)</f>
        <v/>
      </c>
      <c r="L199" s="46">
        <f>IFERROR(__xludf.DUMMYFUNCTION("""COMPUTED_VALUE"""),74000000)</f>
        <v/>
      </c>
      <c r="M199" s="15">
        <f>IFERROR(__xludf.DUMMYFUNCTION("""COMPUTED_VALUE"""),"Ngưng SD")</f>
        <v/>
      </c>
      <c r="N199" s="22">
        <f>IFERROR(__xludf.DUMMYFUNCTION("""COMPUTED_VALUE"""),2)</f>
        <v/>
      </c>
      <c r="O199" s="22" t="n"/>
      <c r="P199" s="22" t="n"/>
      <c r="Q199" s="22" t="n"/>
      <c r="R199" s="22" t="n"/>
    </row>
    <row r="200">
      <c r="A200" s="7">
        <f>IFERROR(__xludf.DUMMYFUNCTION("""COMPUTED_VALUE"""),197)</f>
        <v/>
      </c>
      <c r="B200" s="8">
        <f>IFERROR(__xludf.DUMMYFUNCTION("""COMPUTED_VALUE"""),"Unity")</f>
        <v/>
      </c>
      <c r="C200" s="51" t="n"/>
      <c r="D200" s="8" t="n"/>
      <c r="E200" s="8">
        <f>IFERROR(__xludf.DUMMYFUNCTION("""COMPUTED_VALUE"""),"FML24.3.24 ")</f>
        <v/>
      </c>
      <c r="F200" s="15">
        <f>IFERROR(__xludf.DUMMYFUNCTION("""COMPUTED_VALUE"""),"x")</f>
        <v/>
      </c>
      <c r="G200" s="8">
        <f>IFERROR(__xludf.DUMMYFUNCTION("""COMPUTED_VALUE"""),"MBS")</f>
        <v/>
      </c>
      <c r="H200" s="8">
        <f>IFERROR(__xludf.DUMMYFUNCTION("""COMPUTED_VALUE"""),"MBS")</f>
        <v/>
      </c>
      <c r="I200" s="16">
        <f>IFERROR(__xludf.DUMMYFUNCTION("""COMPUTED_VALUE"""),"24 tháng")</f>
        <v/>
      </c>
      <c r="J200" s="16">
        <f>IFERROR(__xludf.DUMMYFUNCTION("""COMPUTED_VALUE"""),"Gia đình 3 người")</f>
        <v/>
      </c>
      <c r="K200" s="48">
        <f>IFERROR(__xludf.DUMMYFUNCTION("""COMPUTED_VALUE"""),36000000)</f>
        <v/>
      </c>
      <c r="L200" s="46">
        <f>IFERROR(__xludf.DUMMYFUNCTION("""COMPUTED_VALUE"""),108000000)</f>
        <v/>
      </c>
      <c r="M200" s="15">
        <f>IFERROR(__xludf.DUMMYFUNCTION("""COMPUTED_VALUE"""),"Ngưng SD")</f>
        <v/>
      </c>
      <c r="N200" s="22">
        <f>IFERROR(__xludf.DUMMYFUNCTION("""COMPUTED_VALUE"""),3)</f>
        <v/>
      </c>
      <c r="O200" s="22" t="n"/>
      <c r="P200" s="22" t="n"/>
      <c r="Q200" s="22" t="n"/>
      <c r="R200" s="22" t="n"/>
    </row>
    <row r="201">
      <c r="A201" s="7">
        <f>IFERROR(__xludf.DUMMYFUNCTION("""COMPUTED_VALUE"""),198)</f>
        <v/>
      </c>
      <c r="B201" s="8">
        <f>IFERROR(__xludf.DUMMYFUNCTION("""COMPUTED_VALUE"""),"Unity")</f>
        <v/>
      </c>
      <c r="C201" s="51" t="n"/>
      <c r="D201" s="8" t="n"/>
      <c r="E201" s="8">
        <f>IFERROR(__xludf.DUMMYFUNCTION("""COMPUTED_VALUE"""),"FML24.4.24 ")</f>
        <v/>
      </c>
      <c r="F201" s="15">
        <f>IFERROR(__xludf.DUMMYFUNCTION("""COMPUTED_VALUE"""),"x")</f>
        <v/>
      </c>
      <c r="G201" s="8">
        <f>IFERROR(__xludf.DUMMYFUNCTION("""COMPUTED_VALUE"""),"MBS")</f>
        <v/>
      </c>
      <c r="H201" s="8">
        <f>IFERROR(__xludf.DUMMYFUNCTION("""COMPUTED_VALUE"""),"MBS")</f>
        <v/>
      </c>
      <c r="I201" s="16">
        <f>IFERROR(__xludf.DUMMYFUNCTION("""COMPUTED_VALUE"""),"24 tháng")</f>
        <v/>
      </c>
      <c r="J201" s="16">
        <f>IFERROR(__xludf.DUMMYFUNCTION("""COMPUTED_VALUE"""),"Gia đình 4 người")</f>
        <v/>
      </c>
      <c r="K201" s="48">
        <f>IFERROR(__xludf.DUMMYFUNCTION("""COMPUTED_VALUE"""),35000000)</f>
        <v/>
      </c>
      <c r="L201" s="46">
        <f>IFERROR(__xludf.DUMMYFUNCTION("""COMPUTED_VALUE"""),140000000)</f>
        <v/>
      </c>
      <c r="M201" s="15">
        <f>IFERROR(__xludf.DUMMYFUNCTION("""COMPUTED_VALUE"""),"Ngưng SD")</f>
        <v/>
      </c>
      <c r="N201" s="22">
        <f>IFERROR(__xludf.DUMMYFUNCTION("""COMPUTED_VALUE"""),4)</f>
        <v/>
      </c>
      <c r="O201" s="22" t="n"/>
      <c r="P201" s="22" t="n"/>
      <c r="Q201" s="22" t="n"/>
      <c r="R201" s="22" t="n"/>
    </row>
    <row r="202">
      <c r="A202" s="7">
        <f>IFERROR(__xludf.DUMMYFUNCTION("""COMPUTED_VALUE"""),199)</f>
        <v/>
      </c>
      <c r="B202" s="8">
        <f>IFERROR(__xludf.DUMMYFUNCTION("""COMPUTED_VALUE"""),"Unity")</f>
        <v/>
      </c>
      <c r="C202" s="51" t="n"/>
      <c r="D202" s="8" t="n"/>
      <c r="E202" s="8">
        <f>IFERROR(__xludf.DUMMYFUNCTION("""COMPUTED_VALUE"""),"FML24.5.24 ")</f>
        <v/>
      </c>
      <c r="F202" s="15">
        <f>IFERROR(__xludf.DUMMYFUNCTION("""COMPUTED_VALUE"""),"x")</f>
        <v/>
      </c>
      <c r="G202" s="8">
        <f>IFERROR(__xludf.DUMMYFUNCTION("""COMPUTED_VALUE"""),"MBS")</f>
        <v/>
      </c>
      <c r="H202" s="8">
        <f>IFERROR(__xludf.DUMMYFUNCTION("""COMPUTED_VALUE"""),"MBS")</f>
        <v/>
      </c>
      <c r="I202" s="16">
        <f>IFERROR(__xludf.DUMMYFUNCTION("""COMPUTED_VALUE"""),"24 tháng")</f>
        <v/>
      </c>
      <c r="J202" s="16">
        <f>IFERROR(__xludf.DUMMYFUNCTION("""COMPUTED_VALUE"""),"Gia đình 5 người")</f>
        <v/>
      </c>
      <c r="K202" s="48">
        <f>IFERROR(__xludf.DUMMYFUNCTION("""COMPUTED_VALUE"""),34000000)</f>
        <v/>
      </c>
      <c r="L202" s="46">
        <f>IFERROR(__xludf.DUMMYFUNCTION("""COMPUTED_VALUE"""),170000000)</f>
        <v/>
      </c>
      <c r="M202" s="15">
        <f>IFERROR(__xludf.DUMMYFUNCTION("""COMPUTED_VALUE"""),"Ngưng SD")</f>
        <v/>
      </c>
      <c r="N202" s="22">
        <f>IFERROR(__xludf.DUMMYFUNCTION("""COMPUTED_VALUE"""),5)</f>
        <v/>
      </c>
      <c r="O202" s="22" t="n"/>
      <c r="P202" s="22" t="n"/>
      <c r="Q202" s="22" t="n"/>
      <c r="R202" s="22" t="n"/>
    </row>
    <row r="203">
      <c r="A203" s="7">
        <f>IFERROR(__xludf.DUMMYFUNCTION("""COMPUTED_VALUE"""),200)</f>
        <v/>
      </c>
      <c r="B203" s="8">
        <f>IFERROR(__xludf.DUMMYFUNCTION("""COMPUTED_VALUE"""),"Unity")</f>
        <v/>
      </c>
      <c r="C203" s="51" t="n"/>
      <c r="D203" s="8">
        <f>IFERROR(__xludf.DUMMYFUNCTION("""COMPUTED_VALUE"""),"X")</f>
        <v/>
      </c>
      <c r="E203" s="8">
        <f>IFERROR(__xludf.DUMMYFUNCTION("""COMPUTED_VALUE"""),"X")</f>
        <v/>
      </c>
      <c r="F203" s="15">
        <f>IFERROR(__xludf.DUMMYFUNCTION("""COMPUTED_VALUE"""),"x")</f>
        <v/>
      </c>
      <c r="G203" s="8">
        <f>IFERROR(__xludf.DUMMYFUNCTION("""COMPUTED_VALUE"""),"Other")</f>
        <v/>
      </c>
      <c r="H203" s="8">
        <f>IFERROR(__xludf.DUMMYFUNCTION("""COMPUTED_VALUE"""),"Other")</f>
        <v/>
      </c>
      <c r="I203" s="16" t="n"/>
      <c r="J203" s="16" t="n"/>
      <c r="K203" s="48" t="n"/>
      <c r="L203" s="46">
        <f>IFERROR(__xludf.DUMMYFUNCTION("""COMPUTED_VALUE"""),0)</f>
        <v/>
      </c>
      <c r="M203" s="15" t="n"/>
      <c r="N203" s="22" t="n"/>
      <c r="O203" s="22" t="n"/>
      <c r="P203" s="22" t="n"/>
      <c r="Q203" s="22" t="n"/>
      <c r="R203" s="22" t="n"/>
    </row>
    <row r="204">
      <c r="A204" s="7">
        <f>IFERROR(__xludf.DUMMYFUNCTION("""COMPUTED_VALUE"""),201)</f>
        <v/>
      </c>
      <c r="B204" s="8">
        <f>IFERROR(__xludf.DUMMYFUNCTION("""COMPUTED_VALUE"""),"Unity")</f>
        <v/>
      </c>
      <c r="C204" s="51" t="n"/>
      <c r="D204" s="8">
        <f>IFERROR(__xludf.DUMMYFUNCTION("""COMPUTED_VALUE"""),"MBS kèm")</f>
        <v/>
      </c>
      <c r="E204" s="8">
        <f>IFERROR(__xludf.DUMMYFUNCTION("""COMPUTED_VALUE"""),"MBS kèm")</f>
        <v/>
      </c>
      <c r="F204" s="15" t="n"/>
      <c r="G204" s="8">
        <f>IFERROR(__xludf.DUMMYFUNCTION("""COMPUTED_VALUE"""),"MBS")</f>
        <v/>
      </c>
      <c r="H204" s="8">
        <f>IFERROR(__xludf.DUMMYFUNCTION("""COMPUTED_VALUE"""),"MBS PT")</f>
        <v/>
      </c>
      <c r="I204" s="16">
        <f>IFERROR(__xludf.DUMMYFUNCTION("""COMPUTED_VALUE"""),"Buổi")</f>
        <v/>
      </c>
      <c r="J204" s="16" t="n"/>
      <c r="K204" s="48">
        <f>IFERROR(__xludf.DUMMYFUNCTION("""COMPUTED_VALUE"""),50000)</f>
        <v/>
      </c>
      <c r="L204" s="46" t="n"/>
      <c r="M204" s="15" t="n"/>
      <c r="N204" s="22" t="n"/>
      <c r="O204" s="22" t="n"/>
      <c r="P204" s="22" t="n"/>
      <c r="Q204" s="22" t="n"/>
      <c r="R204" s="22" t="n"/>
    </row>
    <row r="205">
      <c r="A205" s="7">
        <f>IFERROR(__xludf.DUMMYFUNCTION("""COMPUTED_VALUE"""),202)</f>
        <v/>
      </c>
      <c r="B205" s="8">
        <f>IFERROR(__xludf.DUMMYFUNCTION("""COMPUTED_VALUE"""),"Unity")</f>
        <v/>
      </c>
      <c r="C205" s="51">
        <f>IFERROR(__xludf.DUMMYFUNCTION("""COMPUTED_VALUE"""),"Family gold 12 tháng")</f>
        <v/>
      </c>
      <c r="D205" s="8">
        <f>IFERROR(__xludf.DUMMYFUNCTION("""COMPUTED_VALUE"""),"GROUP12.2")</f>
        <v/>
      </c>
      <c r="E205" s="8">
        <f>IFERROR(__xludf.DUMMYFUNCTION("""COMPUTED_VALUE"""),"GROUP12.2")</f>
        <v/>
      </c>
      <c r="F205" s="15">
        <f>IFERROR(__xludf.DUMMYFUNCTION("""COMPUTED_VALUE"""),"x")</f>
        <v/>
      </c>
      <c r="G205" s="8">
        <f>IFERROR(__xludf.DUMMYFUNCTION("""COMPUTED_VALUE"""),"MBS")</f>
        <v/>
      </c>
      <c r="H205" s="8">
        <f>IFERROR(__xludf.DUMMYFUNCTION("""COMPUTED_VALUE"""),"MBS")</f>
        <v/>
      </c>
      <c r="I205" s="16">
        <f>IFERROR(__xludf.DUMMYFUNCTION("""COMPUTED_VALUE"""),"12 tháng")</f>
        <v/>
      </c>
      <c r="J205" s="16">
        <f>IFERROR(__xludf.DUMMYFUNCTION("""COMPUTED_VALUE"""),"Nhóm 2 người")</f>
        <v/>
      </c>
      <c r="K205" s="48">
        <f>IFERROR(__xludf.DUMMYFUNCTION("""COMPUTED_VALUE"""),24000000)</f>
        <v/>
      </c>
      <c r="L205" s="46">
        <f>IFERROR(__xludf.DUMMYFUNCTION("""COMPUTED_VALUE"""),48000000)</f>
        <v/>
      </c>
      <c r="M205" s="15">
        <f>IFERROR(__xludf.DUMMYFUNCTION("""COMPUTED_VALUE"""),"")</f>
        <v/>
      </c>
      <c r="N205" s="22">
        <f>IFERROR(__xludf.DUMMYFUNCTION("""COMPUTED_VALUE"""),2)</f>
        <v/>
      </c>
      <c r="O205" s="22" t="n"/>
      <c r="P205" s="22" t="n"/>
      <c r="Q205" s="22" t="n"/>
      <c r="R205" s="22" t="n"/>
    </row>
    <row r="206">
      <c r="A206" s="7">
        <f>IFERROR(__xludf.DUMMYFUNCTION("""COMPUTED_VALUE"""),203)</f>
        <v/>
      </c>
      <c r="B206" s="8">
        <f>IFERROR(__xludf.DUMMYFUNCTION("""COMPUTED_VALUE"""),"Unity")</f>
        <v/>
      </c>
      <c r="C206" s="51" t="n"/>
      <c r="D206" s="8">
        <f>IFERROR(__xludf.DUMMYFUNCTION("""COMPUTED_VALUE"""),"GROUP12.3")</f>
        <v/>
      </c>
      <c r="E206" s="8">
        <f>IFERROR(__xludf.DUMMYFUNCTION("""COMPUTED_VALUE"""),"GROUP12.3")</f>
        <v/>
      </c>
      <c r="F206" s="15">
        <f>IFERROR(__xludf.DUMMYFUNCTION("""COMPUTED_VALUE"""),"x")</f>
        <v/>
      </c>
      <c r="G206" s="8">
        <f>IFERROR(__xludf.DUMMYFUNCTION("""COMPUTED_VALUE"""),"MBS")</f>
        <v/>
      </c>
      <c r="H206" s="8">
        <f>IFERROR(__xludf.DUMMYFUNCTION("""COMPUTED_VALUE"""),"MBS")</f>
        <v/>
      </c>
      <c r="I206" s="16">
        <f>IFERROR(__xludf.DUMMYFUNCTION("""COMPUTED_VALUE"""),"12 tháng")</f>
        <v/>
      </c>
      <c r="J206" s="16">
        <f>IFERROR(__xludf.DUMMYFUNCTION("""COMPUTED_VALUE"""),"Nhóm 3 người")</f>
        <v/>
      </c>
      <c r="K206" s="48">
        <f>IFERROR(__xludf.DUMMYFUNCTION("""COMPUTED_VALUE"""),23000000)</f>
        <v/>
      </c>
      <c r="L206" s="46">
        <f>IFERROR(__xludf.DUMMYFUNCTION("""COMPUTED_VALUE"""),69000000)</f>
        <v/>
      </c>
      <c r="M206" s="15">
        <f>IFERROR(__xludf.DUMMYFUNCTION("""COMPUTED_VALUE"""),"")</f>
        <v/>
      </c>
      <c r="N206" s="22">
        <f>IFERROR(__xludf.DUMMYFUNCTION("""COMPUTED_VALUE"""),3)</f>
        <v/>
      </c>
      <c r="O206" s="22" t="n"/>
      <c r="P206" s="22" t="n"/>
      <c r="Q206" s="22" t="n"/>
      <c r="R206" s="22" t="n"/>
    </row>
    <row r="207">
      <c r="A207" s="7">
        <f>IFERROR(__xludf.DUMMYFUNCTION("""COMPUTED_VALUE"""),204)</f>
        <v/>
      </c>
      <c r="B207" s="8">
        <f>IFERROR(__xludf.DUMMYFUNCTION("""COMPUTED_VALUE"""),"Unity")</f>
        <v/>
      </c>
      <c r="C207" s="51" t="n"/>
      <c r="D207" s="8">
        <f>IFERROR(__xludf.DUMMYFUNCTION("""COMPUTED_VALUE"""),"GROUP12.4")</f>
        <v/>
      </c>
      <c r="E207" s="8">
        <f>IFERROR(__xludf.DUMMYFUNCTION("""COMPUTED_VALUE"""),"GROUP12.4")</f>
        <v/>
      </c>
      <c r="F207" s="15">
        <f>IFERROR(__xludf.DUMMYFUNCTION("""COMPUTED_VALUE"""),"x")</f>
        <v/>
      </c>
      <c r="G207" s="8">
        <f>IFERROR(__xludf.DUMMYFUNCTION("""COMPUTED_VALUE"""),"MBS")</f>
        <v/>
      </c>
      <c r="H207" s="8">
        <f>IFERROR(__xludf.DUMMYFUNCTION("""COMPUTED_VALUE"""),"MBS")</f>
        <v/>
      </c>
      <c r="I207" s="16">
        <f>IFERROR(__xludf.DUMMYFUNCTION("""COMPUTED_VALUE"""),"12 tháng")</f>
        <v/>
      </c>
      <c r="J207" s="16">
        <f>IFERROR(__xludf.DUMMYFUNCTION("""COMPUTED_VALUE"""),"Nhóm 4 người")</f>
        <v/>
      </c>
      <c r="K207" s="48">
        <f>IFERROR(__xludf.DUMMYFUNCTION("""COMPUTED_VALUE"""),22500000)</f>
        <v/>
      </c>
      <c r="L207" s="46">
        <f>IFERROR(__xludf.DUMMYFUNCTION("""COMPUTED_VALUE"""),90000000)</f>
        <v/>
      </c>
      <c r="M207" s="15">
        <f>IFERROR(__xludf.DUMMYFUNCTION("""COMPUTED_VALUE"""),"")</f>
        <v/>
      </c>
      <c r="N207" s="22">
        <f>IFERROR(__xludf.DUMMYFUNCTION("""COMPUTED_VALUE"""),4)</f>
        <v/>
      </c>
      <c r="O207" s="22" t="n"/>
      <c r="P207" s="22" t="n"/>
      <c r="Q207" s="22" t="n"/>
      <c r="R207" s="22" t="n"/>
    </row>
    <row r="208">
      <c r="A208" s="7">
        <f>IFERROR(__xludf.DUMMYFUNCTION("""COMPUTED_VALUE"""),205)</f>
        <v/>
      </c>
      <c r="B208" s="8">
        <f>IFERROR(__xludf.DUMMYFUNCTION("""COMPUTED_VALUE"""),"Unity")</f>
        <v/>
      </c>
      <c r="C208" s="51">
        <f>IFERROR(__xludf.DUMMYFUNCTION("""COMPUTED_VALUE"""),"Family gold 24 tháng")</f>
        <v/>
      </c>
      <c r="D208" s="8">
        <f>IFERROR(__xludf.DUMMYFUNCTION("""COMPUTED_VALUE"""),"GROUP24.2")</f>
        <v/>
      </c>
      <c r="E208" s="8">
        <f>IFERROR(__xludf.DUMMYFUNCTION("""COMPUTED_VALUE"""),"GROUP24.2")</f>
        <v/>
      </c>
      <c r="F208" s="15">
        <f>IFERROR(__xludf.DUMMYFUNCTION("""COMPUTED_VALUE"""),"x")</f>
        <v/>
      </c>
      <c r="G208" s="8">
        <f>IFERROR(__xludf.DUMMYFUNCTION("""COMPUTED_VALUE"""),"MBS")</f>
        <v/>
      </c>
      <c r="H208" s="8">
        <f>IFERROR(__xludf.DUMMYFUNCTION("""COMPUTED_VALUE"""),"MBS")</f>
        <v/>
      </c>
      <c r="I208" s="16">
        <f>IFERROR(__xludf.DUMMYFUNCTION("""COMPUTED_VALUE"""),"24 tháng")</f>
        <v/>
      </c>
      <c r="J208" s="16">
        <f>IFERROR(__xludf.DUMMYFUNCTION("""COMPUTED_VALUE"""),"Nhóm 2 người")</f>
        <v/>
      </c>
      <c r="K208" s="48">
        <f>IFERROR(__xludf.DUMMYFUNCTION("""COMPUTED_VALUE"""),37000000)</f>
        <v/>
      </c>
      <c r="L208" s="46">
        <f>IFERROR(__xludf.DUMMYFUNCTION("""COMPUTED_VALUE"""),74000000)</f>
        <v/>
      </c>
      <c r="M208" s="15">
        <f>IFERROR(__xludf.DUMMYFUNCTION("""COMPUTED_VALUE"""),"")</f>
        <v/>
      </c>
      <c r="N208" s="22">
        <f>IFERROR(__xludf.DUMMYFUNCTION("""COMPUTED_VALUE"""),2)</f>
        <v/>
      </c>
      <c r="O208" s="22" t="n"/>
      <c r="P208" s="22" t="n"/>
      <c r="Q208" s="22" t="n"/>
      <c r="R208" s="22" t="n"/>
    </row>
    <row r="209">
      <c r="A209" s="7">
        <f>IFERROR(__xludf.DUMMYFUNCTION("""COMPUTED_VALUE"""),206)</f>
        <v/>
      </c>
      <c r="B209" s="8">
        <f>IFERROR(__xludf.DUMMYFUNCTION("""COMPUTED_VALUE"""),"Unity")</f>
        <v/>
      </c>
      <c r="C209" s="51" t="n"/>
      <c r="D209" s="8">
        <f>IFERROR(__xludf.DUMMYFUNCTION("""COMPUTED_VALUE"""),"GROUP24.3")</f>
        <v/>
      </c>
      <c r="E209" s="8">
        <f>IFERROR(__xludf.DUMMYFUNCTION("""COMPUTED_VALUE"""),"GROUP24.3")</f>
        <v/>
      </c>
      <c r="F209" s="15">
        <f>IFERROR(__xludf.DUMMYFUNCTION("""COMPUTED_VALUE"""),"x")</f>
        <v/>
      </c>
      <c r="G209" s="8">
        <f>IFERROR(__xludf.DUMMYFUNCTION("""COMPUTED_VALUE"""),"MBS")</f>
        <v/>
      </c>
      <c r="H209" s="8">
        <f>IFERROR(__xludf.DUMMYFUNCTION("""COMPUTED_VALUE"""),"MBS")</f>
        <v/>
      </c>
      <c r="I209" s="16">
        <f>IFERROR(__xludf.DUMMYFUNCTION("""COMPUTED_VALUE"""),"24 tháng")</f>
        <v/>
      </c>
      <c r="J209" s="16">
        <f>IFERROR(__xludf.DUMMYFUNCTION("""COMPUTED_VALUE"""),"Nhóm 3 người")</f>
        <v/>
      </c>
      <c r="K209" s="48">
        <f>IFERROR(__xludf.DUMMYFUNCTION("""COMPUTED_VALUE"""),36000000)</f>
        <v/>
      </c>
      <c r="L209" s="46">
        <f>IFERROR(__xludf.DUMMYFUNCTION("""COMPUTED_VALUE"""),108000000)</f>
        <v/>
      </c>
      <c r="M209" s="15">
        <f>IFERROR(__xludf.DUMMYFUNCTION("""COMPUTED_VALUE"""),"")</f>
        <v/>
      </c>
      <c r="N209" s="22">
        <f>IFERROR(__xludf.DUMMYFUNCTION("""COMPUTED_VALUE"""),3)</f>
        <v/>
      </c>
      <c r="O209" s="22" t="n"/>
      <c r="P209" s="22" t="n"/>
      <c r="Q209" s="22" t="n"/>
      <c r="R209" s="22" t="n"/>
    </row>
    <row r="210">
      <c r="A210" s="7">
        <f>IFERROR(__xludf.DUMMYFUNCTION("""COMPUTED_VALUE"""),207)</f>
        <v/>
      </c>
      <c r="B210" s="8">
        <f>IFERROR(__xludf.DUMMYFUNCTION("""COMPUTED_VALUE"""),"Unity")</f>
        <v/>
      </c>
      <c r="C210" s="51" t="n"/>
      <c r="D210" s="8">
        <f>IFERROR(__xludf.DUMMYFUNCTION("""COMPUTED_VALUE"""),"GROUP24.4")</f>
        <v/>
      </c>
      <c r="E210" s="8">
        <f>IFERROR(__xludf.DUMMYFUNCTION("""COMPUTED_VALUE"""),"GROUP24.4")</f>
        <v/>
      </c>
      <c r="F210" s="15">
        <f>IFERROR(__xludf.DUMMYFUNCTION("""COMPUTED_VALUE"""),"x")</f>
        <v/>
      </c>
      <c r="G210" s="8">
        <f>IFERROR(__xludf.DUMMYFUNCTION("""COMPUTED_VALUE"""),"MBS")</f>
        <v/>
      </c>
      <c r="H210" s="8">
        <f>IFERROR(__xludf.DUMMYFUNCTION("""COMPUTED_VALUE"""),"MBS")</f>
        <v/>
      </c>
      <c r="I210" s="16">
        <f>IFERROR(__xludf.DUMMYFUNCTION("""COMPUTED_VALUE"""),"24 tháng")</f>
        <v/>
      </c>
      <c r="J210" s="16">
        <f>IFERROR(__xludf.DUMMYFUNCTION("""COMPUTED_VALUE"""),"Nhóm 4 người")</f>
        <v/>
      </c>
      <c r="K210" s="48">
        <f>IFERROR(__xludf.DUMMYFUNCTION("""COMPUTED_VALUE"""),35000000)</f>
        <v/>
      </c>
      <c r="L210" s="46">
        <f>IFERROR(__xludf.DUMMYFUNCTION("""COMPUTED_VALUE"""),140000000)</f>
        <v/>
      </c>
      <c r="M210" s="15">
        <f>IFERROR(__xludf.DUMMYFUNCTION("""COMPUTED_VALUE"""),"")</f>
        <v/>
      </c>
      <c r="N210" s="22">
        <f>IFERROR(__xludf.DUMMYFUNCTION("""COMPUTED_VALUE"""),4)</f>
        <v/>
      </c>
      <c r="O210" s="22" t="n"/>
      <c r="P210" s="22" t="n"/>
      <c r="Q210" s="22" t="n"/>
      <c r="R210" s="22" t="n"/>
    </row>
    <row r="211">
      <c r="A211" s="7">
        <f>IFERROR(__xludf.DUMMYFUNCTION("""COMPUTED_VALUE"""),208)</f>
        <v/>
      </c>
      <c r="B211" s="8">
        <f>IFERROR(__xludf.DUMMYFUNCTION("""COMPUTED_VALUE"""),"Unity")</f>
        <v/>
      </c>
      <c r="C211" s="51">
        <f>IFERROR(__xludf.DUMMYFUNCTION("""COMPUTED_VALUE"""),"Family Gym 12 tháng")</f>
        <v/>
      </c>
      <c r="D211" s="8">
        <f>IFERROR(__xludf.DUMMYFUNCTION("""COMPUTED_VALUE"""),"FMLUFS12.2")</f>
        <v/>
      </c>
      <c r="E211" s="8">
        <f>IFERROR(__xludf.DUMMYFUNCTION("""COMPUTED_VALUE"""),"FMLUFS12.2")</f>
        <v/>
      </c>
      <c r="F211" s="15">
        <f>IFERROR(__xludf.DUMMYFUNCTION("""COMPUTED_VALUE"""),"x")</f>
        <v/>
      </c>
      <c r="G211" s="8">
        <f>IFERROR(__xludf.DUMMYFUNCTION("""COMPUTED_VALUE"""),"MBS")</f>
        <v/>
      </c>
      <c r="H211" s="8">
        <f>IFERROR(__xludf.DUMMYFUNCTION("""COMPUTED_VALUE"""),"MBS")</f>
        <v/>
      </c>
      <c r="I211" s="16">
        <f>IFERROR(__xludf.DUMMYFUNCTION("""COMPUTED_VALUE"""),"24 tháng")</f>
        <v/>
      </c>
      <c r="J211" s="16">
        <f>IFERROR(__xludf.DUMMYFUNCTION("""COMPUTED_VALUE"""),"Nhóm 2 người")</f>
        <v/>
      </c>
      <c r="K211" s="48">
        <f>IFERROR(__xludf.DUMMYFUNCTION("""COMPUTED_VALUE"""),10800000)</f>
        <v/>
      </c>
      <c r="L211" s="46" t="n"/>
      <c r="M211" s="15">
        <f>IFERROR(__xludf.DUMMYFUNCTION("""COMPUTED_VALUE"""),"Làm chung HĐ")</f>
        <v/>
      </c>
      <c r="N211" s="22" t="n"/>
      <c r="O211" s="22" t="n"/>
      <c r="P211" s="22" t="n"/>
      <c r="Q211" s="22" t="n"/>
      <c r="R211" s="22" t="n"/>
    </row>
    <row r="212">
      <c r="A212" s="7">
        <f>IFERROR(__xludf.DUMMYFUNCTION("""COMPUTED_VALUE"""),209)</f>
        <v/>
      </c>
      <c r="B212" s="8">
        <f>IFERROR(__xludf.DUMMYFUNCTION("""COMPUTED_VALUE"""),"Unity")</f>
        <v/>
      </c>
      <c r="C212" s="51" t="n"/>
      <c r="D212" s="8">
        <f>IFERROR(__xludf.DUMMYFUNCTION("""COMPUTED_VALUE"""),"FMLUFS12.3")</f>
        <v/>
      </c>
      <c r="E212" s="8">
        <f>IFERROR(__xludf.DUMMYFUNCTION("""COMPUTED_VALUE"""),"FMLUFS12.3")</f>
        <v/>
      </c>
      <c r="F212" s="15">
        <f>IFERROR(__xludf.DUMMYFUNCTION("""COMPUTED_VALUE"""),"x")</f>
        <v/>
      </c>
      <c r="G212" s="8">
        <f>IFERROR(__xludf.DUMMYFUNCTION("""COMPUTED_VALUE"""),"MBS")</f>
        <v/>
      </c>
      <c r="H212" s="8">
        <f>IFERROR(__xludf.DUMMYFUNCTION("""COMPUTED_VALUE"""),"MBS")</f>
        <v/>
      </c>
      <c r="I212" s="16">
        <f>IFERROR(__xludf.DUMMYFUNCTION("""COMPUTED_VALUE"""),"24 tháng")</f>
        <v/>
      </c>
      <c r="J212" s="16">
        <f>IFERROR(__xludf.DUMMYFUNCTION("""COMPUTED_VALUE"""),"Nhóm 3 người")</f>
        <v/>
      </c>
      <c r="K212" s="48">
        <f>IFERROR(__xludf.DUMMYFUNCTION("""COMPUTED_VALUE"""),14040000)</f>
        <v/>
      </c>
      <c r="L212" s="46" t="n"/>
      <c r="M212" s="15">
        <f>IFERROR(__xludf.DUMMYFUNCTION("""COMPUTED_VALUE"""),"Làm chung HĐ")</f>
        <v/>
      </c>
      <c r="N212" s="22" t="n"/>
      <c r="O212" s="22" t="n"/>
      <c r="P212" s="22" t="n"/>
      <c r="Q212" s="22" t="n"/>
      <c r="R212" s="22" t="n"/>
    </row>
    <row r="213">
      <c r="A213" s="7">
        <f>IFERROR(__xludf.DUMMYFUNCTION("""COMPUTED_VALUE"""),"")</f>
        <v/>
      </c>
      <c r="B213" s="8">
        <f>IFERROR(__xludf.DUMMYFUNCTION("""COMPUTED_VALUE"""),"Unity")</f>
        <v/>
      </c>
      <c r="C213" s="51" t="n"/>
      <c r="D213" s="8">
        <f>IFERROR(__xludf.DUMMYFUNCTION("""COMPUTED_VALUE"""),"Gia hạn 10%")</f>
        <v/>
      </c>
      <c r="E213" s="8">
        <f>IFERROR(__xludf.DUMMYFUNCTION("""COMPUTED_VALUE"""),"Gia hạn 10%")</f>
        <v/>
      </c>
      <c r="F213" s="15" t="n"/>
      <c r="G213" s="8" t="n"/>
      <c r="H213" s="8" t="n"/>
      <c r="I213" s="16" t="n"/>
      <c r="J213" s="16" t="n"/>
      <c r="K213" s="48" t="n"/>
      <c r="L213" s="46" t="n"/>
      <c r="M213" s="15" t="n"/>
      <c r="N213" s="22" t="n"/>
      <c r="O213" s="22" t="n"/>
      <c r="P213" s="22" t="n"/>
      <c r="Q213" s="22" t="n"/>
      <c r="R213" s="22" t="n"/>
    </row>
    <row r="214">
      <c r="A214" s="7">
        <f>IFERROR(__xludf.DUMMYFUNCTION("""COMPUTED_VALUE"""),"")</f>
        <v/>
      </c>
      <c r="B214" s="8">
        <f>IFERROR(__xludf.DUMMYFUNCTION("""COMPUTED_VALUE"""),"Unity")</f>
        <v/>
      </c>
      <c r="C214" s="51" t="n"/>
      <c r="D214" s="8">
        <f>IFERROR(__xludf.DUMMYFUNCTION("""COMPUTED_VALUE"""),"Gia hạn 5%")</f>
        <v/>
      </c>
      <c r="E214" s="8">
        <f>IFERROR(__xludf.DUMMYFUNCTION("""COMPUTED_VALUE"""),"Gia hạn 5%")</f>
        <v/>
      </c>
      <c r="F214" s="15" t="n"/>
      <c r="G214" s="8" t="n"/>
      <c r="H214" s="8" t="n"/>
      <c r="I214" s="16" t="n"/>
      <c r="J214" s="16" t="n"/>
      <c r="K214" s="48" t="n"/>
      <c r="L214" s="46" t="n"/>
      <c r="M214" s="15" t="n"/>
      <c r="N214" s="22" t="n"/>
      <c r="O214" s="22" t="n"/>
      <c r="P214" s="22" t="n"/>
      <c r="Q214" s="22" t="n"/>
      <c r="R214" s="22" t="n"/>
    </row>
    <row r="215">
      <c r="A215" s="7">
        <f>IFERROR(__xludf.DUMMYFUNCTION("""COMPUTED_VALUE"""),210)</f>
        <v/>
      </c>
      <c r="B215" s="8">
        <f>IFERROR(__xludf.DUMMYFUNCTION("""COMPUTED_VALUE"""),"Unity")</f>
        <v/>
      </c>
      <c r="C215" s="51" t="n"/>
      <c r="D215" s="8">
        <f>IFERROR(__xludf.DUMMYFUNCTION("""COMPUTED_VALUE"""),"Gia hạn 20%")</f>
        <v/>
      </c>
      <c r="E215" s="8">
        <f>IFERROR(__xludf.DUMMYFUNCTION("""COMPUTED_VALUE"""),"Gia hạn 20%")</f>
        <v/>
      </c>
      <c r="F215" s="15">
        <f>IFERROR(__xludf.DUMMYFUNCTION("""COMPUTED_VALUE"""),"xxx")</f>
        <v/>
      </c>
      <c r="G215" s="8">
        <f>IFERROR(__xludf.DUMMYFUNCTION("""COMPUTED_VALUE"""),"Other")</f>
        <v/>
      </c>
      <c r="H215" s="8">
        <f>IFERROR(__xludf.DUMMYFUNCTION("""COMPUTED_VALUE"""),"Other")</f>
        <v/>
      </c>
      <c r="I215" s="16">
        <f>IFERROR(__xludf.DUMMYFUNCTION("""COMPUTED_VALUE"""),"Tháng")</f>
        <v/>
      </c>
      <c r="J215" s="16">
        <f>IFERROR(__xludf.DUMMYFUNCTION("""COMPUTED_VALUE"""),"1 tháng")</f>
        <v/>
      </c>
      <c r="K215" s="48" t="n"/>
      <c r="L215" s="46" t="n"/>
      <c r="M215" s="15" t="n"/>
      <c r="N215" s="22" t="n"/>
      <c r="O215" s="22" t="n"/>
      <c r="P215" s="22" t="n"/>
      <c r="Q215" s="22" t="n"/>
      <c r="R215" s="22" t="n"/>
    </row>
    <row r="216">
      <c r="A216" s="7">
        <f>IFERROR(__xludf.DUMMYFUNCTION("""COMPUTED_VALUE"""),211)</f>
        <v/>
      </c>
      <c r="B216" s="8">
        <f>IFERROR(__xludf.DUMMYFUNCTION("""COMPUTED_VALUE"""),"Unity")</f>
        <v/>
      </c>
      <c r="C216" s="51">
        <f>IFERROR(__xludf.DUMMYFUNCTION("""COMPUTED_VALUE"""),"Bơi ếch")</f>
        <v/>
      </c>
      <c r="D216" s="8">
        <f>IFERROR(__xludf.DUMMYFUNCTION("""COMPUTED_VALUE"""),"BE10Bơi1:2")</f>
        <v/>
      </c>
      <c r="E216" s="8">
        <f>IFERROR(__xludf.DUMMYFUNCTION("""COMPUTED_VALUE"""),"BE10Bơi1:2")</f>
        <v/>
      </c>
      <c r="F216" s="15">
        <f>IFERROR(__xludf.DUMMYFUNCTION("""COMPUTED_VALUE"""),"xx")</f>
        <v/>
      </c>
      <c r="G216" s="8">
        <f>IFERROR(__xludf.DUMMYFUNCTION("""COMPUTED_VALUE"""),"Bơi")</f>
        <v/>
      </c>
      <c r="H216" s="8">
        <f>IFERROR(__xludf.DUMMYFUNCTION("""COMPUTED_VALUE"""),"Bơi")</f>
        <v/>
      </c>
      <c r="I216" s="16">
        <f>IFERROR(__xludf.DUMMYFUNCTION("""COMPUTED_VALUE"""),"8 buổi")</f>
        <v/>
      </c>
      <c r="J216" s="16">
        <f>IFERROR(__xludf.DUMMYFUNCTION("""COMPUTED_VALUE"""),"10 buổi")</f>
        <v/>
      </c>
      <c r="K216" s="48">
        <f>IFERROR(__xludf.DUMMYFUNCTION("""COMPUTED_VALUE"""),3200000)</f>
        <v/>
      </c>
      <c r="L216" s="46" t="n"/>
      <c r="M216" s="15" t="n"/>
      <c r="N216" s="22" t="n"/>
      <c r="O216" s="22" t="n"/>
      <c r="P216" s="22" t="n"/>
      <c r="Q216" s="22" t="n"/>
      <c r="R216" s="22" t="n"/>
    </row>
    <row r="217">
      <c r="A217" s="7">
        <f>IFERROR(__xludf.DUMMYFUNCTION("""COMPUTED_VALUE"""),212)</f>
        <v/>
      </c>
      <c r="B217" s="8">
        <f>IFERROR(__xludf.DUMMYFUNCTION("""COMPUTED_VALUE"""),"Unity")</f>
        <v/>
      </c>
      <c r="C217" s="51">
        <f>IFERROR(__xludf.DUMMYFUNCTION("""COMPUTED_VALUE"""),"Bơi ếch")</f>
        <v/>
      </c>
      <c r="D217" s="8">
        <f>IFERROR(__xludf.DUMMYFUNCTION("""COMPUTED_VALUE"""),"BE10Bơi1:1")</f>
        <v/>
      </c>
      <c r="E217" s="8">
        <f>IFERROR(__xludf.DUMMYFUNCTION("""COMPUTED_VALUE"""),"BE10Bơi1:1")</f>
        <v/>
      </c>
      <c r="F217" s="15">
        <f>IFERROR(__xludf.DUMMYFUNCTION("""COMPUTED_VALUE"""),"xx")</f>
        <v/>
      </c>
      <c r="G217" s="8">
        <f>IFERROR(__xludf.DUMMYFUNCTION("""COMPUTED_VALUE"""),"Bơi")</f>
        <v/>
      </c>
      <c r="H217" s="8">
        <f>IFERROR(__xludf.DUMMYFUNCTION("""COMPUTED_VALUE"""),"Bơi")</f>
        <v/>
      </c>
      <c r="I217" s="16">
        <f>IFERROR(__xludf.DUMMYFUNCTION("""COMPUTED_VALUE"""),"8 buổi")</f>
        <v/>
      </c>
      <c r="J217" s="16">
        <f>IFERROR(__xludf.DUMMYFUNCTION("""COMPUTED_VALUE"""),"10 buổi")</f>
        <v/>
      </c>
      <c r="K217" s="48">
        <f>IFERROR(__xludf.DUMMYFUNCTION("""COMPUTED_VALUE"""),4000000)</f>
        <v/>
      </c>
      <c r="L217" s="46" t="n"/>
      <c r="M217" s="15" t="n"/>
      <c r="N217" s="22" t="n"/>
      <c r="O217" s="22" t="n"/>
      <c r="P217" s="22" t="n"/>
      <c r="Q217" s="22" t="n"/>
      <c r="R217" s="22" t="n"/>
    </row>
    <row r="218">
      <c r="A218" s="7">
        <f>IFERROR(__xludf.DUMMYFUNCTION("""COMPUTED_VALUE"""),213)</f>
        <v/>
      </c>
      <c r="B218" s="8">
        <f>IFERROR(__xludf.DUMMYFUNCTION("""COMPUTED_VALUE"""),"Unity")</f>
        <v/>
      </c>
      <c r="C218" s="51">
        <f>IFERROR(__xludf.DUMMYFUNCTION("""COMPUTED_VALUE"""),"Bơi ếch")</f>
        <v/>
      </c>
      <c r="D218" s="8">
        <f>IFERROR(__xludf.DUMMYFUNCTION("""COMPUTED_VALUE"""),"BE10B1T1:2")</f>
        <v/>
      </c>
      <c r="E218" s="8">
        <f>IFERROR(__xludf.DUMMYFUNCTION("""COMPUTED_VALUE"""),"BE10B1T1:2")</f>
        <v/>
      </c>
      <c r="F218" s="15">
        <f>IFERROR(__xludf.DUMMYFUNCTION("""COMPUTED_VALUE"""),"xx")</f>
        <v/>
      </c>
      <c r="G218" s="8">
        <f>IFERROR(__xludf.DUMMYFUNCTION("""COMPUTED_VALUE"""),"Bơi")</f>
        <v/>
      </c>
      <c r="H218" s="8">
        <f>IFERROR(__xludf.DUMMYFUNCTION("""COMPUTED_VALUE"""),"Bơi")</f>
        <v/>
      </c>
      <c r="I218" s="16">
        <f>IFERROR(__xludf.DUMMYFUNCTION("""COMPUTED_VALUE"""),"8 buổi/1tháng")</f>
        <v/>
      </c>
      <c r="J218" s="16">
        <f>IFERROR(__xludf.DUMMYFUNCTION("""COMPUTED_VALUE"""),"10 buổi")</f>
        <v/>
      </c>
      <c r="K218" s="48">
        <f>IFERROR(__xludf.DUMMYFUNCTION("""COMPUTED_VALUE"""),3700000)</f>
        <v/>
      </c>
      <c r="L218" s="46" t="n"/>
      <c r="M218" s="15" t="n"/>
      <c r="N218" s="22" t="n"/>
      <c r="O218" s="22" t="n"/>
      <c r="P218" s="22" t="n"/>
      <c r="Q218" s="22" t="n"/>
      <c r="R218" s="22" t="n"/>
    </row>
    <row r="219">
      <c r="A219" s="7">
        <f>IFERROR(__xludf.DUMMYFUNCTION("""COMPUTED_VALUE"""),214)</f>
        <v/>
      </c>
      <c r="B219" s="8">
        <f>IFERROR(__xludf.DUMMYFUNCTION("""COMPUTED_VALUE"""),"Unity")</f>
        <v/>
      </c>
      <c r="C219" s="51">
        <f>IFERROR(__xludf.DUMMYFUNCTION("""COMPUTED_VALUE"""),"Bơi ếch")</f>
        <v/>
      </c>
      <c r="D219" s="8">
        <f>IFERROR(__xludf.DUMMYFUNCTION("""COMPUTED_VALUE"""),"BE10B1T1:1")</f>
        <v/>
      </c>
      <c r="E219" s="8">
        <f>IFERROR(__xludf.DUMMYFUNCTION("""COMPUTED_VALUE"""),"BE10B1T1:1")</f>
        <v/>
      </c>
      <c r="F219" s="15">
        <f>IFERROR(__xludf.DUMMYFUNCTION("""COMPUTED_VALUE"""),"xx")</f>
        <v/>
      </c>
      <c r="G219" s="8">
        <f>IFERROR(__xludf.DUMMYFUNCTION("""COMPUTED_VALUE"""),"Bơi")</f>
        <v/>
      </c>
      <c r="H219" s="8">
        <f>IFERROR(__xludf.DUMMYFUNCTION("""COMPUTED_VALUE"""),"Bơi")</f>
        <v/>
      </c>
      <c r="I219" s="16">
        <f>IFERROR(__xludf.DUMMYFUNCTION("""COMPUTED_VALUE"""),"8 buổi/1tháng")</f>
        <v/>
      </c>
      <c r="J219" s="16">
        <f>IFERROR(__xludf.DUMMYFUNCTION("""COMPUTED_VALUE"""),"10 buổi")</f>
        <v/>
      </c>
      <c r="K219" s="48">
        <f>IFERROR(__xludf.DUMMYFUNCTION("""COMPUTED_VALUE"""),4500000)</f>
        <v/>
      </c>
      <c r="L219" s="46" t="n"/>
      <c r="M219" s="15" t="n"/>
      <c r="N219" s="22" t="n"/>
      <c r="O219" s="22" t="n"/>
      <c r="P219" s="22" t="n"/>
      <c r="Q219" s="22" t="n"/>
      <c r="R219" s="22" t="n"/>
    </row>
    <row r="220">
      <c r="A220" s="7">
        <f>IFERROR(__xludf.DUMMYFUNCTION("""COMPUTED_VALUE"""),"")</f>
        <v/>
      </c>
      <c r="B220" s="8">
        <f>IFERROR(__xludf.DUMMYFUNCTION("""COMPUTED_VALUE"""),"")</f>
        <v/>
      </c>
      <c r="C220" s="51" t="n"/>
      <c r="D220" s="8" t="n"/>
      <c r="E220" s="8" t="n"/>
      <c r="F220" s="15" t="n"/>
      <c r="G220" s="8" t="n"/>
      <c r="H220" s="8" t="n"/>
      <c r="I220" s="16" t="n"/>
      <c r="J220" s="16" t="n"/>
      <c r="K220" s="48" t="n"/>
      <c r="L220" s="46" t="n"/>
      <c r="M220" s="15" t="n"/>
      <c r="N220" s="22" t="n"/>
      <c r="O220" s="22" t="n"/>
      <c r="P220" s="22" t="n"/>
      <c r="Q220" s="22" t="n"/>
      <c r="R220" s="22" t="n"/>
    </row>
    <row r="221">
      <c r="A221" s="7">
        <f>IFERROR(__xludf.DUMMYFUNCTION("""COMPUTED_VALUE"""),"")</f>
        <v/>
      </c>
      <c r="B221" s="8">
        <f>IFERROR(__xludf.DUMMYFUNCTION("""COMPUTED_VALUE"""),"")</f>
        <v/>
      </c>
      <c r="C221" s="51" t="n"/>
      <c r="D221" s="8" t="n"/>
      <c r="E221" s="8" t="n"/>
      <c r="F221" s="15" t="n"/>
      <c r="G221" s="8" t="n"/>
      <c r="H221" s="8" t="n"/>
      <c r="I221" s="16" t="n"/>
      <c r="J221" s="16" t="n"/>
      <c r="K221" s="48" t="n"/>
      <c r="L221" s="46" t="n"/>
      <c r="M221" s="15" t="n"/>
      <c r="N221" s="22" t="n"/>
      <c r="O221" s="22" t="n"/>
      <c r="P221" s="22" t="n"/>
      <c r="Q221" s="22" t="n"/>
      <c r="R221" s="22" t="n"/>
    </row>
    <row r="222">
      <c r="A222" s="7">
        <f>IFERROR(__xludf.DUMMYFUNCTION("""COMPUTED_VALUE"""),"")</f>
        <v/>
      </c>
      <c r="B222" s="8">
        <f>IFERROR(__xludf.DUMMYFUNCTION("""COMPUTED_VALUE"""),"")</f>
        <v/>
      </c>
      <c r="C222" s="51" t="n"/>
      <c r="D222" s="8" t="n"/>
      <c r="E222" s="8" t="n"/>
      <c r="F222" s="15" t="n"/>
      <c r="G222" s="8" t="n"/>
      <c r="H222" s="8" t="n"/>
      <c r="I222" s="16" t="n"/>
      <c r="J222" s="16" t="n"/>
      <c r="K222" s="48" t="n"/>
      <c r="L222" s="46" t="n"/>
      <c r="M222" s="15" t="n"/>
      <c r="N222" s="22" t="n"/>
      <c r="O222" s="22" t="n"/>
      <c r="P222" s="22" t="n"/>
      <c r="Q222" s="22" t="n"/>
      <c r="R222" s="22" t="n"/>
    </row>
    <row r="223">
      <c r="A223" s="7">
        <f>IFERROR(__xludf.DUMMYFUNCTION("""COMPUTED_VALUE"""),"")</f>
        <v/>
      </c>
      <c r="B223" s="8">
        <f>IFERROR(__xludf.DUMMYFUNCTION("""COMPUTED_VALUE"""),"")</f>
        <v/>
      </c>
      <c r="C223" s="51" t="n"/>
      <c r="D223" s="8" t="n"/>
      <c r="E223" s="8" t="n"/>
      <c r="F223" s="15" t="n"/>
      <c r="G223" s="8" t="n"/>
      <c r="H223" s="8" t="n"/>
      <c r="I223" s="16" t="n"/>
      <c r="J223" s="16" t="n"/>
      <c r="K223" s="48" t="n"/>
      <c r="L223" s="46" t="n"/>
      <c r="M223" s="15" t="n"/>
      <c r="N223" s="22" t="n"/>
      <c r="O223" s="22" t="n"/>
      <c r="P223" s="22" t="n"/>
      <c r="Q223" s="22" t="n"/>
      <c r="R223" s="22" t="n"/>
    </row>
    <row r="224">
      <c r="A224" s="7">
        <f>IFERROR(__xludf.DUMMYFUNCTION("""COMPUTED_VALUE"""),"")</f>
        <v/>
      </c>
      <c r="B224" s="8">
        <f>IFERROR(__xludf.DUMMYFUNCTION("""COMPUTED_VALUE"""),"")</f>
        <v/>
      </c>
      <c r="C224" s="51" t="n"/>
      <c r="D224" s="8" t="n"/>
      <c r="E224" s="8" t="n"/>
      <c r="F224" s="15" t="n"/>
      <c r="G224" s="8" t="n"/>
      <c r="H224" s="8" t="n"/>
      <c r="I224" s="16" t="n"/>
      <c r="J224" s="16" t="n"/>
      <c r="K224" s="48" t="n"/>
      <c r="L224" s="46" t="n"/>
      <c r="M224" s="15" t="n"/>
      <c r="N224" s="22" t="n"/>
      <c r="O224" s="22" t="n"/>
      <c r="P224" s="22" t="n"/>
      <c r="Q224" s="22" t="n"/>
      <c r="R224" s="22" t="n"/>
    </row>
    <row r="225">
      <c r="A225" s="7">
        <f>IFERROR(__xludf.DUMMYFUNCTION("""COMPUTED_VALUE"""),"")</f>
        <v/>
      </c>
      <c r="B225" s="8">
        <f>IFERROR(__xludf.DUMMYFUNCTION("""COMPUTED_VALUE"""),"")</f>
        <v/>
      </c>
      <c r="C225" s="51" t="n"/>
      <c r="D225" s="8" t="n"/>
      <c r="E225" s="8" t="n"/>
      <c r="F225" s="15" t="n"/>
      <c r="G225" s="8" t="n"/>
      <c r="H225" s="8" t="n"/>
      <c r="I225" s="16" t="n"/>
      <c r="J225" s="16" t="n"/>
      <c r="K225" s="48" t="n"/>
      <c r="L225" s="46" t="n"/>
      <c r="M225" s="15" t="n"/>
      <c r="N225" s="22" t="n"/>
      <c r="O225" s="22" t="n"/>
      <c r="P225" s="22" t="n"/>
      <c r="Q225" s="22" t="n"/>
      <c r="R225" s="22" t="n"/>
    </row>
    <row r="226">
      <c r="A226" s="7">
        <f>IFERROR(__xludf.DUMMYFUNCTION("""COMPUTED_VALUE"""),"")</f>
        <v/>
      </c>
      <c r="B226" s="8">
        <f>IFERROR(__xludf.DUMMYFUNCTION("""COMPUTED_VALUE"""),"")</f>
        <v/>
      </c>
      <c r="C226" s="51" t="n"/>
      <c r="D226" s="8" t="n"/>
      <c r="E226" s="8" t="n"/>
      <c r="F226" s="15" t="n"/>
      <c r="G226" s="8" t="n"/>
      <c r="H226" s="8" t="n"/>
      <c r="I226" s="16" t="n"/>
      <c r="J226" s="16" t="n"/>
      <c r="K226" s="48" t="n"/>
      <c r="L226" s="46" t="n"/>
      <c r="M226" s="15" t="n"/>
      <c r="N226" s="22" t="n"/>
      <c r="O226" s="22" t="n"/>
      <c r="P226" s="22" t="n"/>
      <c r="Q226" s="22" t="n"/>
      <c r="R226" s="22" t="n"/>
    </row>
    <row r="227">
      <c r="A227" s="7">
        <f>IFERROR(__xludf.DUMMYFUNCTION("""COMPUTED_VALUE"""),"")</f>
        <v/>
      </c>
      <c r="B227" s="8">
        <f>IFERROR(__xludf.DUMMYFUNCTION("""COMPUTED_VALUE"""),"")</f>
        <v/>
      </c>
      <c r="C227" s="51" t="n"/>
      <c r="D227" s="8" t="n"/>
      <c r="E227" s="8" t="n"/>
      <c r="F227" s="15" t="n"/>
      <c r="G227" s="8" t="n"/>
      <c r="H227" s="8" t="n"/>
      <c r="I227" s="16" t="n"/>
      <c r="J227" s="16" t="n"/>
      <c r="K227" s="48" t="n"/>
      <c r="L227" s="46" t="n"/>
      <c r="M227" s="15" t="n"/>
      <c r="N227" s="22" t="n"/>
      <c r="O227" s="22" t="n"/>
      <c r="P227" s="22" t="n"/>
      <c r="Q227" s="22" t="n"/>
      <c r="R227" s="22" t="n"/>
    </row>
    <row r="228">
      <c r="A228" s="7">
        <f>IFERROR(__xludf.DUMMYFUNCTION("""COMPUTED_VALUE"""),"")</f>
        <v/>
      </c>
      <c r="B228" s="8">
        <f>IFERROR(__xludf.DUMMYFUNCTION("""COMPUTED_VALUE"""),"")</f>
        <v/>
      </c>
      <c r="C228" s="51" t="n"/>
      <c r="D228" s="8" t="n"/>
      <c r="E228" s="8" t="n"/>
      <c r="F228" s="15" t="n"/>
      <c r="G228" s="8" t="n"/>
      <c r="H228" s="8" t="n"/>
      <c r="I228" s="16" t="n"/>
      <c r="J228" s="16" t="n"/>
      <c r="K228" s="48" t="n"/>
      <c r="L228" s="46" t="n"/>
      <c r="M228" s="15" t="n"/>
      <c r="N228" s="22" t="n"/>
      <c r="O228" s="22" t="n"/>
      <c r="P228" s="22" t="n"/>
      <c r="Q228" s="22" t="n"/>
      <c r="R228" s="22" t="n"/>
    </row>
    <row r="229">
      <c r="A229" s="7">
        <f>IFERROR(__xludf.DUMMYFUNCTION("""COMPUTED_VALUE"""),"")</f>
        <v/>
      </c>
      <c r="B229" s="8">
        <f>IFERROR(__xludf.DUMMYFUNCTION("""COMPUTED_VALUE"""),"")</f>
        <v/>
      </c>
      <c r="C229" s="51" t="n"/>
      <c r="D229" s="8" t="n"/>
      <c r="E229" s="8" t="n"/>
      <c r="F229" s="15" t="n"/>
      <c r="G229" s="8" t="n"/>
      <c r="H229" s="8" t="n"/>
      <c r="I229" s="16" t="n"/>
      <c r="J229" s="16" t="n"/>
      <c r="K229" s="48" t="n"/>
      <c r="L229" s="46" t="n"/>
      <c r="M229" s="15" t="n"/>
      <c r="N229" s="22" t="n"/>
      <c r="O229" s="22" t="n"/>
      <c r="P229" s="22" t="n"/>
      <c r="Q229" s="22" t="n"/>
      <c r="R229" s="22" t="n"/>
    </row>
    <row r="230">
      <c r="A230" s="7">
        <f>IFERROR(__xludf.DUMMYFUNCTION("""COMPUTED_VALUE"""),"")</f>
        <v/>
      </c>
      <c r="B230" s="8">
        <f>IFERROR(__xludf.DUMMYFUNCTION("""COMPUTED_VALUE"""),"")</f>
        <v/>
      </c>
      <c r="C230" s="51" t="n"/>
      <c r="D230" s="8" t="n"/>
      <c r="E230" s="8" t="n"/>
      <c r="F230" s="15" t="n"/>
      <c r="G230" s="8" t="n"/>
      <c r="H230" s="8" t="n"/>
      <c r="I230" s="16" t="n"/>
      <c r="J230" s="16" t="n"/>
      <c r="K230" s="48" t="n"/>
      <c r="L230" s="46" t="n"/>
      <c r="M230" s="15" t="n"/>
      <c r="N230" s="22" t="n"/>
      <c r="O230" s="22" t="n"/>
      <c r="P230" s="22" t="n"/>
      <c r="Q230" s="22" t="n"/>
      <c r="R230" s="22" t="n"/>
    </row>
    <row r="231">
      <c r="A231" s="7">
        <f>IFERROR(__xludf.DUMMYFUNCTION("""COMPUTED_VALUE"""),"")</f>
        <v/>
      </c>
      <c r="B231" s="8">
        <f>IFERROR(__xludf.DUMMYFUNCTION("""COMPUTED_VALUE"""),"")</f>
        <v/>
      </c>
      <c r="C231" s="51" t="n"/>
      <c r="D231" s="8" t="n"/>
      <c r="E231" s="8" t="n"/>
      <c r="F231" s="15" t="n"/>
      <c r="G231" s="8" t="n"/>
      <c r="H231" s="8" t="n"/>
      <c r="I231" s="16" t="n"/>
      <c r="J231" s="16" t="n"/>
      <c r="K231" s="48" t="n"/>
      <c r="L231" s="46" t="n"/>
      <c r="M231" s="15" t="n"/>
      <c r="N231" s="22" t="n"/>
      <c r="O231" s="22" t="n"/>
      <c r="P231" s="22" t="n"/>
      <c r="Q231" s="22" t="n"/>
      <c r="R231" s="22" t="n"/>
    </row>
    <row r="232">
      <c r="A232" s="7">
        <f>IFERROR(__xludf.DUMMYFUNCTION("""COMPUTED_VALUE"""),"")</f>
        <v/>
      </c>
      <c r="B232" s="8">
        <f>IFERROR(__xludf.DUMMYFUNCTION("""COMPUTED_VALUE"""),"")</f>
        <v/>
      </c>
      <c r="C232" s="51" t="n"/>
      <c r="D232" s="8" t="n"/>
      <c r="E232" s="8" t="n"/>
      <c r="F232" s="15" t="n"/>
      <c r="G232" s="8" t="n"/>
      <c r="H232" s="8" t="n"/>
      <c r="I232" s="16" t="n"/>
      <c r="J232" s="16" t="n"/>
      <c r="K232" s="48" t="n"/>
      <c r="L232" s="46" t="n"/>
      <c r="M232" s="15" t="n"/>
      <c r="N232" s="22" t="n"/>
      <c r="O232" s="22" t="n"/>
      <c r="P232" s="22" t="n"/>
      <c r="Q232" s="22" t="n"/>
      <c r="R232" s="22" t="n"/>
    </row>
    <row r="233">
      <c r="A233" s="7">
        <f>IFERROR(__xludf.DUMMYFUNCTION("""COMPUTED_VALUE"""),"")</f>
        <v/>
      </c>
      <c r="B233" s="8">
        <f>IFERROR(__xludf.DUMMYFUNCTION("""COMPUTED_VALUE"""),"")</f>
        <v/>
      </c>
      <c r="C233" s="51" t="n"/>
      <c r="D233" s="8" t="n"/>
      <c r="E233" s="8" t="n"/>
      <c r="F233" s="15" t="n"/>
      <c r="G233" s="8" t="n"/>
      <c r="H233" s="8" t="n"/>
      <c r="I233" s="16" t="n"/>
      <c r="J233" s="16" t="n"/>
      <c r="K233" s="48" t="n"/>
      <c r="L233" s="46" t="n"/>
      <c r="M233" s="15" t="n"/>
      <c r="N233" s="22" t="n"/>
      <c r="O233" s="22" t="n"/>
      <c r="P233" s="22" t="n"/>
      <c r="Q233" s="22" t="n"/>
      <c r="R233" s="22" t="n"/>
    </row>
    <row r="234">
      <c r="A234" s="7">
        <f>IFERROR(__xludf.DUMMYFUNCTION("""COMPUTED_VALUE"""),"")</f>
        <v/>
      </c>
      <c r="B234" s="8">
        <f>IFERROR(__xludf.DUMMYFUNCTION("""COMPUTED_VALUE"""),"")</f>
        <v/>
      </c>
      <c r="C234" s="51" t="n"/>
      <c r="D234" s="8" t="n"/>
      <c r="E234" s="8" t="n"/>
      <c r="F234" s="15" t="n"/>
      <c r="G234" s="8" t="n"/>
      <c r="H234" s="8" t="n"/>
      <c r="I234" s="16" t="n"/>
      <c r="J234" s="16" t="n"/>
      <c r="K234" s="48" t="n"/>
      <c r="L234" s="46" t="n"/>
      <c r="M234" s="15" t="n"/>
      <c r="N234" s="22" t="n"/>
      <c r="O234" s="22" t="n"/>
      <c r="P234" s="22" t="n"/>
      <c r="Q234" s="22" t="n"/>
      <c r="R234" s="22" t="n"/>
    </row>
    <row r="235">
      <c r="A235" s="7">
        <f>IFERROR(__xludf.DUMMYFUNCTION("""COMPUTED_VALUE"""),"")</f>
        <v/>
      </c>
      <c r="B235" s="8">
        <f>IFERROR(__xludf.DUMMYFUNCTION("""COMPUTED_VALUE"""),"")</f>
        <v/>
      </c>
      <c r="C235" s="51" t="n"/>
      <c r="D235" s="8" t="n"/>
      <c r="E235" s="8" t="n"/>
      <c r="F235" s="15" t="n"/>
      <c r="G235" s="8" t="n"/>
      <c r="H235" s="8" t="n"/>
      <c r="I235" s="16" t="n"/>
      <c r="J235" s="16" t="n"/>
      <c r="K235" s="48" t="n"/>
      <c r="L235" s="46" t="n"/>
      <c r="M235" s="15" t="n"/>
      <c r="N235" s="22" t="n"/>
      <c r="O235" s="22" t="n"/>
      <c r="P235" s="22" t="n"/>
      <c r="Q235" s="22" t="n"/>
      <c r="R235" s="22" t="n"/>
    </row>
    <row r="236">
      <c r="A236" s="7">
        <f>IFERROR(__xludf.DUMMYFUNCTION("""COMPUTED_VALUE"""),"")</f>
        <v/>
      </c>
      <c r="B236" s="8">
        <f>IFERROR(__xludf.DUMMYFUNCTION("""COMPUTED_VALUE"""),"")</f>
        <v/>
      </c>
      <c r="C236" s="51" t="n"/>
      <c r="D236" s="8" t="n"/>
      <c r="E236" s="8" t="n"/>
      <c r="F236" s="15" t="n"/>
      <c r="G236" s="8" t="n"/>
      <c r="H236" s="8" t="n"/>
      <c r="I236" s="16" t="n"/>
      <c r="J236" s="16" t="n"/>
      <c r="K236" s="48" t="n"/>
      <c r="L236" s="46" t="n"/>
      <c r="M236" s="15" t="n"/>
      <c r="N236" s="22" t="n"/>
      <c r="O236" s="22" t="n"/>
      <c r="P236" s="22" t="n"/>
      <c r="Q236" s="22" t="n"/>
      <c r="R236" s="22" t="n"/>
    </row>
    <row r="237">
      <c r="A237" s="7">
        <f>IFERROR(__xludf.DUMMYFUNCTION("""COMPUTED_VALUE"""),"")</f>
        <v/>
      </c>
      <c r="B237" s="8">
        <f>IFERROR(__xludf.DUMMYFUNCTION("""COMPUTED_VALUE"""),"")</f>
        <v/>
      </c>
      <c r="C237" s="51" t="n"/>
      <c r="D237" s="8" t="n"/>
      <c r="E237" s="8" t="n"/>
      <c r="F237" s="15" t="n"/>
      <c r="G237" s="8" t="n"/>
      <c r="H237" s="8" t="n"/>
      <c r="I237" s="16" t="n"/>
      <c r="J237" s="16" t="n"/>
      <c r="K237" s="48" t="n"/>
      <c r="L237" s="46" t="n"/>
      <c r="M237" s="15" t="n"/>
      <c r="N237" s="22" t="n"/>
      <c r="O237" s="22" t="n"/>
      <c r="P237" s="22" t="n"/>
      <c r="Q237" s="22" t="n"/>
      <c r="R237" s="22" t="n"/>
    </row>
    <row r="238">
      <c r="A238" s="7">
        <f>IFERROR(__xludf.DUMMYFUNCTION("""COMPUTED_VALUE"""),"")</f>
        <v/>
      </c>
      <c r="B238" s="8">
        <f>IFERROR(__xludf.DUMMYFUNCTION("""COMPUTED_VALUE"""),"")</f>
        <v/>
      </c>
      <c r="C238" s="51" t="n"/>
      <c r="D238" s="8" t="n"/>
      <c r="E238" s="8" t="n"/>
      <c r="F238" s="15" t="n"/>
      <c r="G238" s="8" t="n"/>
      <c r="H238" s="8" t="n"/>
      <c r="I238" s="16" t="n"/>
      <c r="J238" s="16" t="n"/>
      <c r="K238" s="48" t="n"/>
      <c r="L238" s="46" t="n"/>
      <c r="M238" s="15" t="n"/>
      <c r="N238" s="22" t="n"/>
      <c r="O238" s="22" t="n"/>
      <c r="P238" s="22" t="n"/>
      <c r="Q238" s="22" t="n"/>
      <c r="R238" s="22" t="n"/>
    </row>
    <row r="239">
      <c r="A239" s="7">
        <f>IFERROR(__xludf.DUMMYFUNCTION("""COMPUTED_VALUE"""),"")</f>
        <v/>
      </c>
      <c r="B239" s="8">
        <f>IFERROR(__xludf.DUMMYFUNCTION("""COMPUTED_VALUE"""),"")</f>
        <v/>
      </c>
      <c r="C239" s="51" t="n"/>
      <c r="D239" s="8" t="n"/>
      <c r="E239" s="8" t="n"/>
      <c r="F239" s="15" t="n"/>
      <c r="G239" s="8" t="n"/>
      <c r="H239" s="8" t="n"/>
      <c r="I239" s="16" t="n"/>
      <c r="J239" s="16" t="n"/>
      <c r="K239" s="48" t="n"/>
      <c r="L239" s="46" t="n"/>
      <c r="M239" s="15" t="n"/>
      <c r="N239" s="22" t="n"/>
      <c r="O239" s="22" t="n"/>
      <c r="P239" s="22" t="n"/>
      <c r="Q239" s="22" t="n"/>
      <c r="R239" s="22" t="n"/>
    </row>
    <row r="240">
      <c r="A240" s="7">
        <f>IFERROR(__xludf.DUMMYFUNCTION("""COMPUTED_VALUE"""),215)</f>
        <v/>
      </c>
      <c r="B240" s="8">
        <f>IFERROR(__xludf.DUMMYFUNCTION("""COMPUTED_VALUE"""),"Unity")</f>
        <v/>
      </c>
      <c r="C240" s="51">
        <f>IFERROR(__xludf.DUMMYFUNCTION("""COMPUTED_VALUE"""),"Bơi ếch đã có MBS")</f>
        <v/>
      </c>
      <c r="D240" s="8" t="n"/>
      <c r="E240" s="8">
        <f>IFERROR(__xludf.DUMMYFUNCTION("""COMPUTED_VALUE"""),"BE1T10B")</f>
        <v/>
      </c>
      <c r="F240" s="15">
        <f>IFERROR(__xludf.DUMMYFUNCTION("""COMPUTED_VALUE"""),"xx")</f>
        <v/>
      </c>
      <c r="G240" s="8">
        <f>IFERROR(__xludf.DUMMYFUNCTION("""COMPUTED_VALUE"""),"Bơi")</f>
        <v/>
      </c>
      <c r="H240" s="8">
        <f>IFERROR(__xludf.DUMMYFUNCTION("""COMPUTED_VALUE"""),"Bơi")</f>
        <v/>
      </c>
      <c r="I240" s="16">
        <f>IFERROR(__xludf.DUMMYFUNCTION("""COMPUTED_VALUE"""),"10 buổi/1 tháng")</f>
        <v/>
      </c>
      <c r="J240" s="16">
        <f>IFERROR(__xludf.DUMMYFUNCTION("""COMPUTED_VALUE"""),"10 buổi/1 tháng")</f>
        <v/>
      </c>
      <c r="K240" s="48">
        <f>IFERROR(__xludf.DUMMYFUNCTION("""COMPUTED_VALUE"""),3800000)</f>
        <v/>
      </c>
      <c r="L240" s="46" t="n"/>
      <c r="M240" s="15">
        <f>IFERROR(__xludf.DUMMYFUNCTION("""COMPUTED_VALUE"""),"Ngưng SD")</f>
        <v/>
      </c>
      <c r="N240" s="22" t="n"/>
      <c r="O240" s="22" t="n"/>
      <c r="P240" s="22" t="n"/>
      <c r="Q240" s="22" t="n"/>
      <c r="R240" s="22" t="n"/>
    </row>
    <row r="241">
      <c r="A241" s="7">
        <f>IFERROR(__xludf.DUMMYFUNCTION("""COMPUTED_VALUE"""),216)</f>
        <v/>
      </c>
      <c r="B241" s="8">
        <f>IFERROR(__xludf.DUMMYFUNCTION("""COMPUTED_VALUE"""),"Unity")</f>
        <v/>
      </c>
      <c r="C241" s="51">
        <f>IFERROR(__xludf.DUMMYFUNCTION("""COMPUTED_VALUE"""),"Bơi sải đã có MBS")</f>
        <v/>
      </c>
      <c r="D241" s="8" t="n"/>
      <c r="E241" s="8">
        <f>IFERROR(__xludf.DUMMYFUNCTION("""COMPUTED_VALUE"""),"BS1T10B")</f>
        <v/>
      </c>
      <c r="F241" s="15">
        <f>IFERROR(__xludf.DUMMYFUNCTION("""COMPUTED_VALUE"""),"xx")</f>
        <v/>
      </c>
      <c r="G241" s="8">
        <f>IFERROR(__xludf.DUMMYFUNCTION("""COMPUTED_VALUE"""),"Bơi")</f>
        <v/>
      </c>
      <c r="H241" s="8">
        <f>IFERROR(__xludf.DUMMYFUNCTION("""COMPUTED_VALUE"""),"Bơi")</f>
        <v/>
      </c>
      <c r="I241" s="16">
        <f>IFERROR(__xludf.DUMMYFUNCTION("""COMPUTED_VALUE"""),"10 buổi/1 tháng")</f>
        <v/>
      </c>
      <c r="J241" s="16">
        <f>IFERROR(__xludf.DUMMYFUNCTION("""COMPUTED_VALUE"""),"10 buổi/1 tháng")</f>
        <v/>
      </c>
      <c r="K241" s="48">
        <f>IFERROR(__xludf.DUMMYFUNCTION("""COMPUTED_VALUE"""),3800000)</f>
        <v/>
      </c>
      <c r="L241" s="46" t="n"/>
      <c r="M241" s="15">
        <f>IFERROR(__xludf.DUMMYFUNCTION("""COMPUTED_VALUE"""),"Ngưng SD")</f>
        <v/>
      </c>
      <c r="N241" s="22" t="n"/>
      <c r="O241" s="22" t="n"/>
      <c r="P241" s="22" t="n"/>
      <c r="Q241" s="22" t="n"/>
      <c r="R241" s="22" t="n"/>
    </row>
    <row r="242">
      <c r="A242" s="7">
        <f>IFERROR(__xludf.DUMMYFUNCTION("""COMPUTED_VALUE"""),217)</f>
        <v/>
      </c>
      <c r="B242" s="8">
        <f>IFERROR(__xludf.DUMMYFUNCTION("""COMPUTED_VALUE"""),"Unity")</f>
        <v/>
      </c>
      <c r="C242" s="51">
        <f>IFERROR(__xludf.DUMMYFUNCTION("""COMPUTED_VALUE"""),"Bơi ếch chưa có MBS")</f>
        <v/>
      </c>
      <c r="D242" s="8" t="n"/>
      <c r="E242" s="8">
        <f>IFERROR(__xludf.DUMMYFUNCTION("""COMPUTED_VALUE"""),"BE10B")</f>
        <v/>
      </c>
      <c r="F242" s="15">
        <f>IFERROR(__xludf.DUMMYFUNCTION("""COMPUTED_VALUE"""),"xx")</f>
        <v/>
      </c>
      <c r="G242" s="8">
        <f>IFERROR(__xludf.DUMMYFUNCTION("""COMPUTED_VALUE"""),"Bơi")</f>
        <v/>
      </c>
      <c r="H242" s="8">
        <f>IFERROR(__xludf.DUMMYFUNCTION("""COMPUTED_VALUE"""),"Bơi")</f>
        <v/>
      </c>
      <c r="I242" s="16">
        <f>IFERROR(__xludf.DUMMYFUNCTION("""COMPUTED_VALUE"""),"10 buổi")</f>
        <v/>
      </c>
      <c r="J242" s="16">
        <f>IFERROR(__xludf.DUMMYFUNCTION("""COMPUTED_VALUE"""),"10 buổi")</f>
        <v/>
      </c>
      <c r="K242" s="48">
        <f>IFERROR(__xludf.DUMMYFUNCTION("""COMPUTED_VALUE"""),3000000)</f>
        <v/>
      </c>
      <c r="L242" s="46" t="n"/>
      <c r="M242" s="15">
        <f>IFERROR(__xludf.DUMMYFUNCTION("""COMPUTED_VALUE"""),"Ngưng SD")</f>
        <v/>
      </c>
      <c r="N242" s="22" t="n"/>
      <c r="O242" s="22" t="n"/>
      <c r="P242" s="22" t="n"/>
      <c r="Q242" s="22" t="n"/>
      <c r="R242" s="22" t="n"/>
    </row>
    <row r="243">
      <c r="A243" s="7">
        <f>IFERROR(__xludf.DUMMYFUNCTION("""COMPUTED_VALUE"""),218)</f>
        <v/>
      </c>
      <c r="B243" s="8">
        <f>IFERROR(__xludf.DUMMYFUNCTION("""COMPUTED_VALUE"""),"Unity")</f>
        <v/>
      </c>
      <c r="C243" s="51">
        <f>IFERROR(__xludf.DUMMYFUNCTION("""COMPUTED_VALUE"""),"Bơi sải chưa có MBS")</f>
        <v/>
      </c>
      <c r="D243" s="8" t="n"/>
      <c r="E243" s="8">
        <f>IFERROR(__xludf.DUMMYFUNCTION("""COMPUTED_VALUE"""),"BS10B")</f>
        <v/>
      </c>
      <c r="F243" s="15">
        <f>IFERROR(__xludf.DUMMYFUNCTION("""COMPUTED_VALUE"""),"xx")</f>
        <v/>
      </c>
      <c r="G243" s="8">
        <f>IFERROR(__xludf.DUMMYFUNCTION("""COMPUTED_VALUE"""),"Bơi")</f>
        <v/>
      </c>
      <c r="H243" s="8">
        <f>IFERROR(__xludf.DUMMYFUNCTION("""COMPUTED_VALUE"""),"Bơi")</f>
        <v/>
      </c>
      <c r="I243" s="16">
        <f>IFERROR(__xludf.DUMMYFUNCTION("""COMPUTED_VALUE"""),"10 buổi")</f>
        <v/>
      </c>
      <c r="J243" s="16">
        <f>IFERROR(__xludf.DUMMYFUNCTION("""COMPUTED_VALUE"""),"10 buổi")</f>
        <v/>
      </c>
      <c r="K243" s="48">
        <f>IFERROR(__xludf.DUMMYFUNCTION("""COMPUTED_VALUE"""),3000000)</f>
        <v/>
      </c>
      <c r="L243" s="46" t="n"/>
      <c r="M243" s="15">
        <f>IFERROR(__xludf.DUMMYFUNCTION("""COMPUTED_VALUE"""),"Ngưng SD")</f>
        <v/>
      </c>
      <c r="N243" s="22" t="n"/>
      <c r="O243" s="22" t="n"/>
      <c r="P243" s="22" t="n"/>
      <c r="Q243" s="22" t="n"/>
      <c r="R243" s="22" t="n"/>
    </row>
    <row r="244">
      <c r="A244" s="7">
        <f>IFERROR(__xludf.DUMMYFUNCTION("""COMPUTED_VALUE"""),219)</f>
        <v/>
      </c>
      <c r="B244" s="8">
        <f>IFERROR(__xludf.DUMMYFUNCTION("""COMPUTED_VALUE"""),"Unity")</f>
        <v/>
      </c>
      <c r="C244" s="51">
        <f>IFERROR(__xludf.DUMMYFUNCTION("""COMPUTED_VALUE"""),"SUC")</f>
        <v/>
      </c>
      <c r="D244" s="8" t="n"/>
      <c r="E244" s="8">
        <f>IFERROR(__xludf.DUMMYFUNCTION("""COMPUTED_VALUE"""),"SUC MBS02")</f>
        <v/>
      </c>
      <c r="F244" s="15">
        <f>IFERROR(__xludf.DUMMYFUNCTION("""COMPUTED_VALUE"""),"x")</f>
        <v/>
      </c>
      <c r="G244" s="8">
        <f>IFERROR(__xludf.DUMMYFUNCTION("""COMPUTED_VALUE"""),"MBS")</f>
        <v/>
      </c>
      <c r="H244" s="8">
        <f>IFERROR(__xludf.DUMMYFUNCTION("""COMPUTED_VALUE"""),"MBS")</f>
        <v/>
      </c>
      <c r="I244" s="16">
        <f>IFERROR(__xludf.DUMMYFUNCTION("""COMPUTED_VALUE"""),"2 tháng")</f>
        <v/>
      </c>
      <c r="J244" s="16">
        <f>IFERROR(__xludf.DUMMYFUNCTION("""COMPUTED_VALUE"""),"2 tháng")</f>
        <v/>
      </c>
      <c r="K244" s="48">
        <f>IFERROR(__xludf.DUMMYFUNCTION("""COMPUTED_VALUE"""),1000000)</f>
        <v/>
      </c>
      <c r="L244" s="46">
        <f>IFERROR(__xludf.DUMMYFUNCTION("""COMPUTED_VALUE"""),20000000)</f>
        <v/>
      </c>
      <c r="M244" s="15">
        <f>IFERROR(__xludf.DUMMYFUNCTION("""COMPUTED_VALUE"""),"Ngưng SD")</f>
        <v/>
      </c>
      <c r="N244" s="22" t="n"/>
      <c r="O244" s="22" t="n"/>
      <c r="P244" s="22" t="n"/>
      <c r="Q244" s="22" t="n"/>
      <c r="R244" s="22" t="n"/>
    </row>
    <row r="245">
      <c r="A245" s="7">
        <f>IFERROR(__xludf.DUMMYFUNCTION("""COMPUTED_VALUE"""),220)</f>
        <v/>
      </c>
      <c r="B245" s="8">
        <f>IFERROR(__xludf.DUMMYFUNCTION("""COMPUTED_VALUE"""),"Unity")</f>
        <v/>
      </c>
      <c r="C245" s="51" t="n"/>
      <c r="D245" s="8" t="n"/>
      <c r="E245" s="8">
        <f>IFERROR(__xludf.DUMMYFUNCTION("""COMPUTED_VALUE"""),"SUC PT32")</f>
        <v/>
      </c>
      <c r="F245" s="15">
        <f>IFERROR(__xludf.DUMMYFUNCTION("""COMPUTED_VALUE"""),"xx")</f>
        <v/>
      </c>
      <c r="G245" s="8">
        <f>IFERROR(__xludf.DUMMYFUNCTION("""COMPUTED_VALUE"""),"PT")</f>
        <v/>
      </c>
      <c r="H245" s="8">
        <f>IFERROR(__xludf.DUMMYFUNCTION("""COMPUTED_VALUE"""),"PT")</f>
        <v/>
      </c>
      <c r="I245" s="16">
        <f>IFERROR(__xludf.DUMMYFUNCTION("""COMPUTED_VALUE"""),"36 buổi")</f>
        <v/>
      </c>
      <c r="J245" s="16">
        <f>IFERROR(__xludf.DUMMYFUNCTION("""COMPUTED_VALUE"""),"36 buổi")</f>
        <v/>
      </c>
      <c r="K245" s="48">
        <f>IFERROR(__xludf.DUMMYFUNCTION("""COMPUTED_VALUE"""),17600000)</f>
        <v/>
      </c>
      <c r="L245" s="46">
        <f>IFERROR(__xludf.DUMMYFUNCTION("""COMPUTED_VALUE"""),20000000)</f>
        <v/>
      </c>
      <c r="M245" s="15">
        <f>IFERROR(__xludf.DUMMYFUNCTION("""COMPUTED_VALUE"""),"Ngưng SD")</f>
        <v/>
      </c>
      <c r="N245" s="22" t="n"/>
      <c r="O245" s="22" t="n"/>
      <c r="P245" s="22" t="n"/>
      <c r="Q245" s="22" t="n"/>
      <c r="R245" s="22" t="n"/>
    </row>
    <row r="246">
      <c r="A246" s="7">
        <f>IFERROR(__xludf.DUMMYFUNCTION("""COMPUTED_VALUE"""),221)</f>
        <v/>
      </c>
      <c r="B246" s="8">
        <f>IFERROR(__xludf.DUMMYFUNCTION("""COMPUTED_VALUE"""),"Unity")</f>
        <v/>
      </c>
      <c r="C246" s="51" t="n"/>
      <c r="D246" s="8" t="n"/>
      <c r="E246" s="8">
        <f>IFERROR(__xludf.DUMMYFUNCTION("""COMPUTED_VALUE"""),"SUC OTHER")</f>
        <v/>
      </c>
      <c r="F246" s="15">
        <f>IFERROR(__xludf.DUMMYFUNCTION("""COMPUTED_VALUE"""),"xxx")</f>
        <v/>
      </c>
      <c r="G246" s="8">
        <f>IFERROR(__xludf.DUMMYFUNCTION("""COMPUTED_VALUE"""),"Other")</f>
        <v/>
      </c>
      <c r="H246" s="8">
        <f>IFERROR(__xludf.DUMMYFUNCTION("""COMPUTED_VALUE"""),"Other")</f>
        <v/>
      </c>
      <c r="I246" s="16" t="n"/>
      <c r="J246" s="16" t="n"/>
      <c r="K246" s="48">
        <f>IFERROR(__xludf.DUMMYFUNCTION("""COMPUTED_VALUE"""),1400000)</f>
        <v/>
      </c>
      <c r="L246" s="46">
        <f>IFERROR(__xludf.DUMMYFUNCTION("""COMPUTED_VALUE"""),20000000)</f>
        <v/>
      </c>
      <c r="M246" s="15">
        <f>IFERROR(__xludf.DUMMYFUNCTION("""COMPUTED_VALUE"""),"Ngưng SD")</f>
        <v/>
      </c>
      <c r="N246" s="22" t="n"/>
      <c r="O246" s="22" t="n"/>
      <c r="P246" s="22" t="n"/>
      <c r="Q246" s="22" t="n"/>
      <c r="R246" s="22" t="n"/>
    </row>
    <row r="247">
      <c r="A247" s="7">
        <f>IFERROR(__xludf.DUMMYFUNCTION("""COMPUTED_VALUE"""),222)</f>
        <v/>
      </c>
      <c r="B247" s="8">
        <f>IFERROR(__xludf.DUMMYFUNCTION("""COMPUTED_VALUE"""),"Unity")</f>
        <v/>
      </c>
      <c r="C247" s="51" t="n"/>
      <c r="D247" s="8" t="n"/>
      <c r="E247" s="8">
        <f>IFERROR(__xludf.DUMMYFUNCTION("""COMPUTED_VALUE"""),"SPS28SS3T")</f>
        <v/>
      </c>
      <c r="F247" s="15">
        <f>IFERROR(__xludf.DUMMYFUNCTION("""COMPUTED_VALUE"""),"xx")</f>
        <v/>
      </c>
      <c r="G247" s="8">
        <f>IFERROR(__xludf.DUMMYFUNCTION("""COMPUTED_VALUE"""),"Bơi")</f>
        <v/>
      </c>
      <c r="H247" s="8">
        <f>IFERROR(__xludf.DUMMYFUNCTION("""COMPUTED_VALUE"""),"Bơi")</f>
        <v/>
      </c>
      <c r="I247" s="16">
        <f>IFERROR(__xludf.DUMMYFUNCTION("""COMPUTED_VALUE"""),"28 buổi/3 tháng")</f>
        <v/>
      </c>
      <c r="J247" s="16">
        <f>IFERROR(__xludf.DUMMYFUNCTION("""COMPUTED_VALUE"""),"28 buổi/3 tháng")</f>
        <v/>
      </c>
      <c r="K247" s="48">
        <f>IFERROR(__xludf.DUMMYFUNCTION("""COMPUTED_VALUE"""),12400000)</f>
        <v/>
      </c>
      <c r="L247" s="46" t="n"/>
      <c r="M247" s="15">
        <f>IFERROR(__xludf.DUMMYFUNCTION("""COMPUTED_VALUE"""),"Ngưng SD")</f>
        <v/>
      </c>
      <c r="N247" s="22" t="n"/>
      <c r="O247" s="22" t="n"/>
      <c r="P247" s="22" t="n"/>
      <c r="Q247" s="22" t="n"/>
      <c r="R247" s="22" t="n"/>
    </row>
    <row r="248">
      <c r="A248" s="7">
        <f>IFERROR(__xludf.DUMMYFUNCTION("""COMPUTED_VALUE"""),223)</f>
        <v/>
      </c>
      <c r="B248" s="8">
        <f>IFERROR(__xludf.DUMMYFUNCTION("""COMPUTED_VALUE"""),"Unity")</f>
        <v/>
      </c>
      <c r="C248" s="51" t="n"/>
      <c r="D248" s="8" t="n"/>
      <c r="E248" s="8">
        <f>IFERROR(__xludf.DUMMYFUNCTION("""COMPUTED_VALUE"""),"SPS28SS")</f>
        <v/>
      </c>
      <c r="F248" s="15">
        <f>IFERROR(__xludf.DUMMYFUNCTION("""COMPUTED_VALUE"""),"xx")</f>
        <v/>
      </c>
      <c r="G248" s="8">
        <f>IFERROR(__xludf.DUMMYFUNCTION("""COMPUTED_VALUE"""),"Bơi")</f>
        <v/>
      </c>
      <c r="H248" s="8">
        <f>IFERROR(__xludf.DUMMYFUNCTION("""COMPUTED_VALUE"""),"Bơi")</f>
        <v/>
      </c>
      <c r="I248" s="16">
        <f>IFERROR(__xludf.DUMMYFUNCTION("""COMPUTED_VALUE"""),"29 buổi")</f>
        <v/>
      </c>
      <c r="J248" s="16">
        <f>IFERROR(__xludf.DUMMYFUNCTION("""COMPUTED_VALUE"""),"29 buổi")</f>
        <v/>
      </c>
      <c r="K248" s="48">
        <f>IFERROR(__xludf.DUMMYFUNCTION("""COMPUTED_VALUE"""),10000000)</f>
        <v/>
      </c>
      <c r="L248" s="46" t="n"/>
      <c r="M248" s="15">
        <f>IFERROR(__xludf.DUMMYFUNCTION("""COMPUTED_VALUE"""),"Ngưng SD")</f>
        <v/>
      </c>
      <c r="N248" s="22" t="n"/>
      <c r="O248" s="22" t="n"/>
      <c r="P248" s="22" t="n"/>
      <c r="Q248" s="22" t="n"/>
      <c r="R248" s="22" t="n"/>
    </row>
    <row r="249">
      <c r="A249" s="7">
        <f>IFERROR(__xludf.DUMMYFUNCTION("""COMPUTED_VALUE"""),224)</f>
        <v/>
      </c>
      <c r="B249" s="8">
        <f>IFERROR(__xludf.DUMMYFUNCTION("""COMPUTED_VALUE"""),"Unity")</f>
        <v/>
      </c>
      <c r="C249" s="51" t="n"/>
      <c r="D249" s="8" t="n"/>
      <c r="E249" s="8">
        <f>IFERROR(__xludf.DUMMYFUNCTION("""COMPUTED_VALUE"""),"GPTB12SS")</f>
        <v/>
      </c>
      <c r="F249" s="15">
        <f>IFERROR(__xludf.DUMMYFUNCTION("""COMPUTED_VALUE"""),"xx")</f>
        <v/>
      </c>
      <c r="G249" s="8">
        <f>IFERROR(__xludf.DUMMYFUNCTION("""COMPUTED_VALUE"""),"Bơi")</f>
        <v/>
      </c>
      <c r="H249" s="8">
        <f>IFERROR(__xludf.DUMMYFUNCTION("""COMPUTED_VALUE"""),"Bơi")</f>
        <v/>
      </c>
      <c r="I249" s="16">
        <f>IFERROR(__xludf.DUMMYFUNCTION("""COMPUTED_VALUE"""),"12 buổi/2 tháng")</f>
        <v/>
      </c>
      <c r="J249" s="16">
        <f>IFERROR(__xludf.DUMMYFUNCTION("""COMPUTED_VALUE"""),"12 buổi/2 tháng")</f>
        <v/>
      </c>
      <c r="K249" s="48">
        <f>IFERROR(__xludf.DUMMYFUNCTION("""COMPUTED_VALUE"""),17000000)</f>
        <v/>
      </c>
      <c r="L249" s="46" t="n"/>
      <c r="M249" s="15">
        <f>IFERROR(__xludf.DUMMYFUNCTION("""COMPUTED_VALUE"""),"Ngưng SD")</f>
        <v/>
      </c>
      <c r="N249" s="22" t="n"/>
      <c r="O249" s="22" t="n"/>
      <c r="P249" s="22" t="n"/>
      <c r="Q249" s="22" t="n"/>
      <c r="R249" s="22" t="n"/>
    </row>
    <row r="250">
      <c r="A250" s="7">
        <f>IFERROR(__xludf.DUMMYFUNCTION("""COMPUTED_VALUE"""),225)</f>
        <v/>
      </c>
      <c r="B250" s="8">
        <f>IFERROR(__xludf.DUMMYFUNCTION("""COMPUTED_VALUE"""),"Unity")</f>
        <v/>
      </c>
      <c r="C250" s="51" t="n"/>
      <c r="D250" s="8" t="n"/>
      <c r="E250" s="8">
        <f>IFERROR(__xludf.DUMMYFUNCTION("""COMPUTED_VALUE"""),"PTT")</f>
        <v/>
      </c>
      <c r="F250" s="15">
        <f>IFERROR(__xludf.DUMMYFUNCTION("""COMPUTED_VALUE"""),"xx")</f>
        <v/>
      </c>
      <c r="G250" s="8">
        <f>IFERROR(__xludf.DUMMYFUNCTION("""COMPUTED_VALUE"""),"PT")</f>
        <v/>
      </c>
      <c r="H250" s="8">
        <f>IFERROR(__xludf.DUMMYFUNCTION("""COMPUTED_VALUE"""),"PT")</f>
        <v/>
      </c>
      <c r="I250" s="16" t="n"/>
      <c r="J250" s="16" t="n"/>
      <c r="K250" s="48">
        <f>IFERROR(__xludf.DUMMYFUNCTION("""COMPUTED_VALUE"""),850000)</f>
        <v/>
      </c>
      <c r="L250" s="46" t="n"/>
      <c r="M250" s="15">
        <f>IFERROR(__xludf.DUMMYFUNCTION("""COMPUTED_VALUE"""),"Ngưng SD")</f>
        <v/>
      </c>
      <c r="N250" s="22" t="n"/>
      <c r="O250" s="22" t="n"/>
      <c r="P250" s="22" t="n"/>
      <c r="Q250" s="22" t="n"/>
      <c r="R250" s="22" t="n"/>
    </row>
    <row r="251">
      <c r="A251" s="7">
        <f>IFERROR(__xludf.DUMMYFUNCTION("""COMPUTED_VALUE"""),226)</f>
        <v/>
      </c>
      <c r="B251" s="8">
        <f>IFERROR(__xludf.DUMMYFUNCTION("""COMPUTED_VALUE"""),"Unity")</f>
        <v/>
      </c>
      <c r="C251" s="51" t="n"/>
      <c r="D251" s="8" t="n"/>
      <c r="E251" s="8">
        <f>IFERROR(__xludf.DUMMYFUNCTION("""COMPUTED_VALUE"""),"PTP30")</f>
        <v/>
      </c>
      <c r="F251" s="15">
        <f>IFERROR(__xludf.DUMMYFUNCTION("""COMPUTED_VALUE"""),"xx")</f>
        <v/>
      </c>
      <c r="G251" s="8">
        <f>IFERROR(__xludf.DUMMYFUNCTION("""COMPUTED_VALUE"""),"PT")</f>
        <v/>
      </c>
      <c r="H251" s="8">
        <f>IFERROR(__xludf.DUMMYFUNCTION("""COMPUTED_VALUE"""),"PT")</f>
        <v/>
      </c>
      <c r="I251" s="16" t="n"/>
      <c r="J251" s="16" t="n"/>
      <c r="K251" s="48">
        <f>IFERROR(__xludf.DUMMYFUNCTION("""COMPUTED_VALUE"""),25500000)</f>
        <v/>
      </c>
      <c r="L251" s="46" t="n"/>
      <c r="M251" s="15">
        <f>IFERROR(__xludf.DUMMYFUNCTION("""COMPUTED_VALUE"""),"Ngưng SD")</f>
        <v/>
      </c>
      <c r="N251" s="22" t="n"/>
      <c r="O251" s="22" t="n"/>
      <c r="P251" s="22" t="n"/>
      <c r="Q251" s="22" t="n"/>
      <c r="R251" s="22" t="n"/>
    </row>
    <row r="252">
      <c r="A252" s="7">
        <f>IFERROR(__xludf.DUMMYFUNCTION("""COMPUTED_VALUE"""),227)</f>
        <v/>
      </c>
      <c r="B252" s="8">
        <f>IFERROR(__xludf.DUMMYFUNCTION("""COMPUTED_VALUE"""),"Unity")</f>
        <v/>
      </c>
      <c r="C252" s="51" t="n"/>
      <c r="D252" s="8" t="n"/>
      <c r="E252" s="8">
        <f>IFERROR(__xludf.DUMMYFUNCTION("""COMPUTED_VALUE"""),"FamilyPool12")</f>
        <v/>
      </c>
      <c r="F252" s="15">
        <f>IFERROR(__xludf.DUMMYFUNCTION("""COMPUTED_VALUE"""),"x")</f>
        <v/>
      </c>
      <c r="G252" s="8">
        <f>IFERROR(__xludf.DUMMYFUNCTION("""COMPUTED_VALUE"""),"MBS")</f>
        <v/>
      </c>
      <c r="H252" s="8">
        <f>IFERROR(__xludf.DUMMYFUNCTION("""COMPUTED_VALUE"""),"MBS")</f>
        <v/>
      </c>
      <c r="I252" s="16" t="n"/>
      <c r="J252" s="16" t="n"/>
      <c r="K252" s="48">
        <f>IFERROR(__xludf.DUMMYFUNCTION("""COMPUTED_VALUE"""),14500000)</f>
        <v/>
      </c>
      <c r="L252" s="46">
        <f>IFERROR(__xludf.DUMMYFUNCTION("""COMPUTED_VALUE"""),29000000)</f>
        <v/>
      </c>
      <c r="M252" s="15">
        <f>IFERROR(__xludf.DUMMYFUNCTION("""COMPUTED_VALUE"""),"Ngưng SD")</f>
        <v/>
      </c>
      <c r="N252" s="22" t="n"/>
      <c r="O252" s="22" t="n"/>
      <c r="P252" s="22" t="n"/>
      <c r="Q252" s="22" t="n"/>
      <c r="R252" s="22" t="n"/>
    </row>
    <row r="253">
      <c r="A253" s="7">
        <f>IFERROR(__xludf.DUMMYFUNCTION("""COMPUTED_VALUE"""),228)</f>
        <v/>
      </c>
      <c r="B253" s="8">
        <f>IFERROR(__xludf.DUMMYFUNCTION("""COMPUTED_VALUE"""),"Unity")</f>
        <v/>
      </c>
      <c r="C253" s="51" t="n"/>
      <c r="D253" s="8" t="n"/>
      <c r="E253" s="8">
        <f>IFERROR(__xludf.DUMMYFUNCTION("""COMPUTED_VALUE"""),"PTFBT")</f>
        <v/>
      </c>
      <c r="F253" s="15">
        <f>IFERROR(__xludf.DUMMYFUNCTION("""COMPUTED_VALUE"""),"xx")</f>
        <v/>
      </c>
      <c r="G253" s="8">
        <f>IFERROR(__xludf.DUMMYFUNCTION("""COMPUTED_VALUE"""),"PT")</f>
        <v/>
      </c>
      <c r="H253" s="8">
        <f>IFERROR(__xludf.DUMMYFUNCTION("""COMPUTED_VALUE"""),"PT")</f>
        <v/>
      </c>
      <c r="I253" s="16" t="n"/>
      <c r="J253" s="16" t="n"/>
      <c r="K253" s="48">
        <f>IFERROR(__xludf.DUMMYFUNCTION("""COMPUTED_VALUE"""),700000)</f>
        <v/>
      </c>
      <c r="L253" s="46" t="n"/>
      <c r="M253" s="15">
        <f>IFERROR(__xludf.DUMMYFUNCTION("""COMPUTED_VALUE"""),"Ngưng SD")</f>
        <v/>
      </c>
      <c r="N253" s="22" t="n"/>
      <c r="O253" s="22" t="n"/>
      <c r="P253" s="22" t="n"/>
      <c r="Q253" s="22" t="n"/>
      <c r="R253" s="22" t="n"/>
    </row>
    <row r="254">
      <c r="A254" s="7">
        <f>IFERROR(__xludf.DUMMYFUNCTION("""COMPUTED_VALUE"""),229)</f>
        <v/>
      </c>
      <c r="B254" s="8">
        <f>IFERROR(__xludf.DUMMYFUNCTION("""COMPUTED_VALUE"""),"Unity")</f>
        <v/>
      </c>
      <c r="C254" s="51">
        <f>IFERROR(__xludf.DUMMYFUNCTION("""COMPUTED_VALUE"""),"Bơi ếch đã có MBS")</f>
        <v/>
      </c>
      <c r="D254" s="8" t="n"/>
      <c r="E254" s="8">
        <f>IFERROR(__xludf.DUMMYFUNCTION("""COMPUTED_VALUE"""),"BE8BMBS")</f>
        <v/>
      </c>
      <c r="F254" s="15">
        <f>IFERROR(__xludf.DUMMYFUNCTION("""COMPUTED_VALUE"""),"xx")</f>
        <v/>
      </c>
      <c r="G254" s="8">
        <f>IFERROR(__xludf.DUMMYFUNCTION("""COMPUTED_VALUE"""),"Bơi")</f>
        <v/>
      </c>
      <c r="H254" s="8">
        <f>IFERROR(__xludf.DUMMYFUNCTION("""COMPUTED_VALUE"""),"Bơi")</f>
        <v/>
      </c>
      <c r="I254" s="16">
        <f>IFERROR(__xludf.DUMMYFUNCTION("""COMPUTED_VALUE"""),"8 buổi/MBS")</f>
        <v/>
      </c>
      <c r="J254" s="16">
        <f>IFERROR(__xludf.DUMMYFUNCTION("""COMPUTED_VALUE"""),"8 buổi/MBS")</f>
        <v/>
      </c>
      <c r="K254" s="48">
        <f>IFERROR(__xludf.DUMMYFUNCTION("""COMPUTED_VALUE"""),2000000)</f>
        <v/>
      </c>
      <c r="L254" s="46" t="n"/>
      <c r="M254" s="15">
        <f>IFERROR(__xludf.DUMMYFUNCTION("""COMPUTED_VALUE"""),"Ngưng SD")</f>
        <v/>
      </c>
      <c r="N254" s="22" t="n"/>
      <c r="O254" s="22" t="n"/>
      <c r="P254" s="22" t="n"/>
      <c r="Q254" s="22" t="n"/>
      <c r="R254" s="22" t="n"/>
    </row>
    <row r="255">
      <c r="A255" s="7">
        <f>IFERROR(__xludf.DUMMYFUNCTION("""COMPUTED_VALUE"""),230)</f>
        <v/>
      </c>
      <c r="B255" s="8">
        <f>IFERROR(__xludf.DUMMYFUNCTION("""COMPUTED_VALUE"""),"Unity")</f>
        <v/>
      </c>
      <c r="C255" s="51">
        <f>IFERROR(__xludf.DUMMYFUNCTION("""COMPUTED_VALUE"""),"Bơi sải đã có MBS")</f>
        <v/>
      </c>
      <c r="D255" s="8" t="n"/>
      <c r="E255" s="8">
        <f>IFERROR(__xludf.DUMMYFUNCTION("""COMPUTED_VALUE"""),"BS12BMBS")</f>
        <v/>
      </c>
      <c r="F255" s="15">
        <f>IFERROR(__xludf.DUMMYFUNCTION("""COMPUTED_VALUE"""),"xx")</f>
        <v/>
      </c>
      <c r="G255" s="8">
        <f>IFERROR(__xludf.DUMMYFUNCTION("""COMPUTED_VALUE"""),"Bơi")</f>
        <v/>
      </c>
      <c r="H255" s="8">
        <f>IFERROR(__xludf.DUMMYFUNCTION("""COMPUTED_VALUE"""),"Bơi")</f>
        <v/>
      </c>
      <c r="I255" s="16">
        <f>IFERROR(__xludf.DUMMYFUNCTION("""COMPUTED_VALUE"""),"12 buổi/MBS")</f>
        <v/>
      </c>
      <c r="J255" s="16">
        <f>IFERROR(__xludf.DUMMYFUNCTION("""COMPUTED_VALUE"""),"12 buổi/MBS")</f>
        <v/>
      </c>
      <c r="K255" s="48">
        <f>IFERROR(__xludf.DUMMYFUNCTION("""COMPUTED_VALUE"""),3000000)</f>
        <v/>
      </c>
      <c r="L255" s="46" t="n"/>
      <c r="M255" s="15">
        <f>IFERROR(__xludf.DUMMYFUNCTION("""COMPUTED_VALUE"""),"Ngưng SD")</f>
        <v/>
      </c>
      <c r="N255" s="22" t="n"/>
      <c r="O255" s="22" t="n"/>
      <c r="P255" s="22" t="n"/>
      <c r="Q255" s="22" t="n"/>
      <c r="R255" s="22" t="n"/>
    </row>
    <row r="256">
      <c r="A256" s="7">
        <f>IFERROR(__xludf.DUMMYFUNCTION("""COMPUTED_VALUE"""),231)</f>
        <v/>
      </c>
      <c r="B256" s="8">
        <f>IFERROR(__xludf.DUMMYFUNCTION("""COMPUTED_VALUE"""),"Unity")</f>
        <v/>
      </c>
      <c r="C256" s="51">
        <f>IFERROR(__xludf.DUMMYFUNCTION("""COMPUTED_VALUE"""),"Bơi ếch chưa có MBS")</f>
        <v/>
      </c>
      <c r="D256" s="8" t="n"/>
      <c r="E256" s="8">
        <f>IFERROR(__xludf.DUMMYFUNCTION("""COMPUTED_VALUE"""),"BE8B1T.")</f>
        <v/>
      </c>
      <c r="F256" s="15">
        <f>IFERROR(__xludf.DUMMYFUNCTION("""COMPUTED_VALUE"""),"xx")</f>
        <v/>
      </c>
      <c r="G256" s="8">
        <f>IFERROR(__xludf.DUMMYFUNCTION("""COMPUTED_VALUE"""),"Bơi")</f>
        <v/>
      </c>
      <c r="H256" s="8">
        <f>IFERROR(__xludf.DUMMYFUNCTION("""COMPUTED_VALUE"""),"Bơi")</f>
        <v/>
      </c>
      <c r="I256" s="16">
        <f>IFERROR(__xludf.DUMMYFUNCTION("""COMPUTED_VALUE"""),"8 buổi/1 tháng")</f>
        <v/>
      </c>
      <c r="J256" s="16">
        <f>IFERROR(__xludf.DUMMYFUNCTION("""COMPUTED_VALUE"""),"8 buổi/1 tháng")</f>
        <v/>
      </c>
      <c r="K256" s="48">
        <f>IFERROR(__xludf.DUMMYFUNCTION("""COMPUTED_VALUE"""),3200000)</f>
        <v/>
      </c>
      <c r="L256" s="46" t="n"/>
      <c r="M256" s="15">
        <f>IFERROR(__xludf.DUMMYFUNCTION("""COMPUTED_VALUE"""),"Ngưng SD")</f>
        <v/>
      </c>
      <c r="N256" s="22" t="n"/>
      <c r="O256" s="22" t="n"/>
      <c r="P256" s="22" t="n"/>
      <c r="Q256" s="22" t="n"/>
      <c r="R256" s="22" t="n"/>
    </row>
    <row r="257">
      <c r="A257" s="7">
        <f>IFERROR(__xludf.DUMMYFUNCTION("""COMPUTED_VALUE"""),232)</f>
        <v/>
      </c>
      <c r="B257" s="8">
        <f>IFERROR(__xludf.DUMMYFUNCTION("""COMPUTED_VALUE"""),"Unity")</f>
        <v/>
      </c>
      <c r="C257" s="51">
        <f>IFERROR(__xludf.DUMMYFUNCTION("""COMPUTED_VALUE"""),"Bơi sải chưa có MBS")</f>
        <v/>
      </c>
      <c r="D257" s="8" t="n"/>
      <c r="E257" s="8">
        <f>IFERROR(__xludf.DUMMYFUNCTION("""COMPUTED_VALUE"""),"BS12B1T")</f>
        <v/>
      </c>
      <c r="F257" s="15">
        <f>IFERROR(__xludf.DUMMYFUNCTION("""COMPUTED_VALUE"""),"xx")</f>
        <v/>
      </c>
      <c r="G257" s="8">
        <f>IFERROR(__xludf.DUMMYFUNCTION("""COMPUTED_VALUE"""),"Bơi")</f>
        <v/>
      </c>
      <c r="H257" s="8">
        <f>IFERROR(__xludf.DUMMYFUNCTION("""COMPUTED_VALUE"""),"Bơi")</f>
        <v/>
      </c>
      <c r="I257" s="16">
        <f>IFERROR(__xludf.DUMMYFUNCTION("""COMPUTED_VALUE"""),"12 buổi/1,5 tháng")</f>
        <v/>
      </c>
      <c r="J257" s="16">
        <f>IFERROR(__xludf.DUMMYFUNCTION("""COMPUTED_VALUE"""),"12 buổi/1,5 tháng")</f>
        <v/>
      </c>
      <c r="K257" s="48">
        <f>IFERROR(__xludf.DUMMYFUNCTION("""COMPUTED_VALUE"""),4800000)</f>
        <v/>
      </c>
      <c r="L257" s="46" t="n"/>
      <c r="M257" s="15">
        <f>IFERROR(__xludf.DUMMYFUNCTION("""COMPUTED_VALUE"""),"Ngưng SD")</f>
        <v/>
      </c>
      <c r="N257" s="22" t="n"/>
      <c r="O257" s="22" t="n"/>
      <c r="P257" s="22" t="n"/>
      <c r="Q257" s="22" t="n"/>
      <c r="R257" s="22" t="n"/>
    </row>
    <row r="258">
      <c r="A258" s="7">
        <f>IFERROR(__xludf.DUMMYFUNCTION("""COMPUTED_VALUE"""),233)</f>
        <v/>
      </c>
      <c r="B258" s="8">
        <f>IFERROR(__xludf.DUMMYFUNCTION("""COMPUTED_VALUE"""),"Unity")</f>
        <v/>
      </c>
      <c r="C258" s="51">
        <f>IFERROR(__xludf.DUMMYFUNCTION("""COMPUTED_VALUE"""),"Liên kết Bên dạy bơi Oanh Sơn ")</f>
        <v/>
      </c>
      <c r="D258" s="8" t="n"/>
      <c r="E258" s="8">
        <f>IFERROR(__xludf.DUMMYFUNCTION("""COMPUTED_VALUE"""),"LB 1-1")</f>
        <v/>
      </c>
      <c r="F258" s="15">
        <f>IFERROR(__xludf.DUMMYFUNCTION("""COMPUTED_VALUE"""),"xx")</f>
        <v/>
      </c>
      <c r="G258" s="8">
        <f>IFERROR(__xludf.DUMMYFUNCTION("""COMPUTED_VALUE"""),"K.Bơi")</f>
        <v/>
      </c>
      <c r="H258" s="8">
        <f>IFERROR(__xludf.DUMMYFUNCTION("""COMPUTED_VALUE"""),"K.Bơi")</f>
        <v/>
      </c>
      <c r="I258" s="16">
        <f>IFERROR(__xludf.DUMMYFUNCTION("""COMPUTED_VALUE"""),"15 buổi/2 tháng")</f>
        <v/>
      </c>
      <c r="J258" s="16" t="n"/>
      <c r="K258" s="48">
        <f>IFERROR(__xludf.DUMMYFUNCTION("""COMPUTED_VALUE"""),3500000)</f>
        <v/>
      </c>
      <c r="L258" s="46" t="n"/>
      <c r="M258" s="15">
        <f>IFERROR(__xludf.DUMMYFUNCTION("""COMPUTED_VALUE"""),"Ngưng SD ngày 05/05/2024")</f>
        <v/>
      </c>
      <c r="N258" s="22" t="n"/>
      <c r="O258" s="22" t="n"/>
      <c r="P258" s="22" t="n"/>
      <c r="Q258" s="22" t="n"/>
      <c r="R258" s="22" t="n"/>
    </row>
    <row r="259">
      <c r="A259" s="7">
        <f>IFERROR(__xludf.DUMMYFUNCTION("""COMPUTED_VALUE"""),234)</f>
        <v/>
      </c>
      <c r="B259" s="8">
        <f>IFERROR(__xludf.DUMMYFUNCTION("""COMPUTED_VALUE"""),"Unity")</f>
        <v/>
      </c>
      <c r="C259" s="51">
        <f>IFERROR(__xludf.DUMMYFUNCTION("""COMPUTED_VALUE"""),"Liên kết Bên dạy bơi Oanh Sơn ")</f>
        <v/>
      </c>
      <c r="D259" s="8" t="n"/>
      <c r="E259" s="8">
        <f>IFERROR(__xludf.DUMMYFUNCTION("""COMPUTED_VALUE"""),"LB 2-3")</f>
        <v/>
      </c>
      <c r="F259" s="15">
        <f>IFERROR(__xludf.DUMMYFUNCTION("""COMPUTED_VALUE"""),"xx")</f>
        <v/>
      </c>
      <c r="G259" s="8">
        <f>IFERROR(__xludf.DUMMYFUNCTION("""COMPUTED_VALUE"""),"K.Bơi")</f>
        <v/>
      </c>
      <c r="H259" s="8">
        <f>IFERROR(__xludf.DUMMYFUNCTION("""COMPUTED_VALUE"""),"K.Bơi")</f>
        <v/>
      </c>
      <c r="I259" s="16">
        <f>IFERROR(__xludf.DUMMYFUNCTION("""COMPUTED_VALUE"""),"15 buổi/2 tháng")</f>
        <v/>
      </c>
      <c r="J259" s="16" t="n"/>
      <c r="K259" s="48">
        <f>IFERROR(__xludf.DUMMYFUNCTION("""COMPUTED_VALUE"""),2500000)</f>
        <v/>
      </c>
      <c r="L259" s="46" t="n"/>
      <c r="M259" s="15">
        <f>IFERROR(__xludf.DUMMYFUNCTION("""COMPUTED_VALUE"""),"Ngưng SD ngày 05/05/2024")</f>
        <v/>
      </c>
      <c r="N259" s="22" t="n"/>
      <c r="O259" s="22" t="n"/>
      <c r="P259" s="22" t="n"/>
      <c r="Q259" s="22" t="n"/>
      <c r="R259" s="22" t="n"/>
    </row>
    <row r="260">
      <c r="A260" s="7">
        <f>IFERROR(__xludf.DUMMYFUNCTION("""COMPUTED_VALUE"""),235)</f>
        <v/>
      </c>
      <c r="B260" s="8">
        <f>IFERROR(__xludf.DUMMYFUNCTION("""COMPUTED_VALUE"""),"Unity")</f>
        <v/>
      </c>
      <c r="C260" s="51">
        <f>IFERROR(__xludf.DUMMYFUNCTION("""COMPUTED_VALUE"""),"Liên kết Bên dạy bơi Oanh Sơn ")</f>
        <v/>
      </c>
      <c r="D260" s="8" t="n"/>
      <c r="E260" s="8">
        <f>IFERROR(__xludf.DUMMYFUNCTION("""COMPUTED_VALUE"""),"LB 4HVTL")</f>
        <v/>
      </c>
      <c r="F260" s="15">
        <f>IFERROR(__xludf.DUMMYFUNCTION("""COMPUTED_VALUE"""),"xx")</f>
        <v/>
      </c>
      <c r="G260" s="8">
        <f>IFERROR(__xludf.DUMMYFUNCTION("""COMPUTED_VALUE"""),"K.Bơi")</f>
        <v/>
      </c>
      <c r="H260" s="8">
        <f>IFERROR(__xludf.DUMMYFUNCTION("""COMPUTED_VALUE"""),"K.Bơi")</f>
        <v/>
      </c>
      <c r="I260" s="16">
        <f>IFERROR(__xludf.DUMMYFUNCTION("""COMPUTED_VALUE"""),"15 buổi/2 tháng")</f>
        <v/>
      </c>
      <c r="J260" s="16" t="n"/>
      <c r="K260" s="48">
        <f>IFERROR(__xludf.DUMMYFUNCTION("""COMPUTED_VALUE"""),1200000)</f>
        <v/>
      </c>
      <c r="L260" s="46" t="n"/>
      <c r="M260" s="15">
        <f>IFERROR(__xludf.DUMMYFUNCTION("""COMPUTED_VALUE"""),"Ngưng SD ngày 05/05/2024")</f>
        <v/>
      </c>
      <c r="N260" s="22" t="n"/>
      <c r="O260" s="22" t="n"/>
      <c r="P260" s="22" t="n"/>
      <c r="Q260" s="22" t="n"/>
      <c r="R260" s="22" t="n"/>
    </row>
    <row r="261">
      <c r="A261" s="7">
        <f>IFERROR(__xludf.DUMMYFUNCTION("""COMPUTED_VALUE"""),236)</f>
        <v/>
      </c>
      <c r="B261" s="8">
        <f>IFERROR(__xludf.DUMMYFUNCTION("""COMPUTED_VALUE"""),"Unity")</f>
        <v/>
      </c>
      <c r="C261" s="51">
        <f>IFERROR(__xludf.DUMMYFUNCTION("""COMPUTED_VALUE"""),"Liên kết Bên dạy bơi Oanh Sơn ")</f>
        <v/>
      </c>
      <c r="D261" s="8" t="n"/>
      <c r="E261" s="8">
        <f>IFERROR(__xludf.DUMMYFUNCTION("""COMPUTED_VALUE"""),"Bơi 15 buổi")</f>
        <v/>
      </c>
      <c r="F261" s="15">
        <f>IFERROR(__xludf.DUMMYFUNCTION("""COMPUTED_VALUE"""),"x")</f>
        <v/>
      </c>
      <c r="G261" s="8">
        <f>IFERROR(__xludf.DUMMYFUNCTION("""COMPUTED_VALUE"""),"MBS")</f>
        <v/>
      </c>
      <c r="H261" s="8">
        <f>IFERROR(__xludf.DUMMYFUNCTION("""COMPUTED_VALUE"""),"MBS")</f>
        <v/>
      </c>
      <c r="I261" s="16">
        <f>IFERROR(__xludf.DUMMYFUNCTION("""COMPUTED_VALUE"""),"15 buổi/2 tháng")</f>
        <v/>
      </c>
      <c r="J261" s="16" t="n"/>
      <c r="K261" s="48">
        <f>IFERROR(__xludf.DUMMYFUNCTION("""COMPUTED_VALUE"""),500000)</f>
        <v/>
      </c>
      <c r="L261" s="46" t="n"/>
      <c r="M261" s="15">
        <f>IFERROR(__xludf.DUMMYFUNCTION("""COMPUTED_VALUE"""),"Ngưng SD ngày 05/05/2024")</f>
        <v/>
      </c>
      <c r="N261" s="22" t="n"/>
      <c r="O261" s="22" t="n"/>
      <c r="P261" s="22" t="n"/>
      <c r="Q261" s="22" t="n"/>
      <c r="R261" s="22" t="n"/>
    </row>
    <row r="262">
      <c r="A262" s="7">
        <f>IFERROR(__xludf.DUMMYFUNCTION("""COMPUTED_VALUE"""),237)</f>
        <v/>
      </c>
      <c r="B262" s="8">
        <f>IFERROR(__xludf.DUMMYFUNCTION("""COMPUTED_VALUE"""),"Unity")</f>
        <v/>
      </c>
      <c r="C262" s="51">
        <f>IFERROR(__xludf.DUMMYFUNCTION("""COMPUTED_VALUE"""),"Liên kết Bên dạy bơi Oanh Sơn ")</f>
        <v/>
      </c>
      <c r="D262" s="8" t="n"/>
      <c r="E262" s="8">
        <f>IFERROR(__xludf.DUMMYFUNCTION("""COMPUTED_VALUE"""),"LB 1-1MBS")</f>
        <v/>
      </c>
      <c r="F262" s="15">
        <f>IFERROR(__xludf.DUMMYFUNCTION("""COMPUTED_VALUE"""),"xx")</f>
        <v/>
      </c>
      <c r="G262" s="8">
        <f>IFERROR(__xludf.DUMMYFUNCTION("""COMPUTED_VALUE"""),"K.Bơi")</f>
        <v/>
      </c>
      <c r="H262" s="8">
        <f>IFERROR(__xludf.DUMMYFUNCTION("""COMPUTED_VALUE"""),"K.Bơi")</f>
        <v/>
      </c>
      <c r="I262" s="16">
        <f>IFERROR(__xludf.DUMMYFUNCTION("""COMPUTED_VALUE"""),"15 buổi/2 tháng")</f>
        <v/>
      </c>
      <c r="J262" s="16" t="n"/>
      <c r="K262" s="48">
        <f>IFERROR(__xludf.DUMMYFUNCTION("""COMPUTED_VALUE"""),3500000)</f>
        <v/>
      </c>
      <c r="L262" s="46" t="n"/>
      <c r="M262" s="15">
        <f>IFERROR(__xludf.DUMMYFUNCTION("""COMPUTED_VALUE"""),"Ngưng SD ngày 05/05/2024")</f>
        <v/>
      </c>
      <c r="N262" s="22" t="n"/>
      <c r="O262" s="22" t="n"/>
      <c r="P262" s="22" t="n"/>
      <c r="Q262" s="22" t="n"/>
      <c r="R262" s="22" t="n"/>
    </row>
    <row r="263">
      <c r="A263" s="7">
        <f>IFERROR(__xludf.DUMMYFUNCTION("""COMPUTED_VALUE"""),238)</f>
        <v/>
      </c>
      <c r="B263" s="8">
        <f>IFERROR(__xludf.DUMMYFUNCTION("""COMPUTED_VALUE"""),"Unity")</f>
        <v/>
      </c>
      <c r="C263" s="51">
        <f>IFERROR(__xludf.DUMMYFUNCTION("""COMPUTED_VALUE"""),"Liên kết Bên dạy bơi Oanh Sơn ")</f>
        <v/>
      </c>
      <c r="D263" s="8" t="n"/>
      <c r="E263" s="8">
        <f>IFERROR(__xludf.DUMMYFUNCTION("""COMPUTED_VALUE"""),"LB 2-3MBS")</f>
        <v/>
      </c>
      <c r="F263" s="15">
        <f>IFERROR(__xludf.DUMMYFUNCTION("""COMPUTED_VALUE"""),"xx")</f>
        <v/>
      </c>
      <c r="G263" s="8">
        <f>IFERROR(__xludf.DUMMYFUNCTION("""COMPUTED_VALUE"""),"K.Bơi")</f>
        <v/>
      </c>
      <c r="H263" s="8">
        <f>IFERROR(__xludf.DUMMYFUNCTION("""COMPUTED_VALUE"""),"K.Bơi")</f>
        <v/>
      </c>
      <c r="I263" s="16">
        <f>IFERROR(__xludf.DUMMYFUNCTION("""COMPUTED_VALUE"""),"15 buổi/2 tháng")</f>
        <v/>
      </c>
      <c r="J263" s="16" t="n"/>
      <c r="K263" s="48">
        <f>IFERROR(__xludf.DUMMYFUNCTION("""COMPUTED_VALUE"""),2500000)</f>
        <v/>
      </c>
      <c r="L263" s="46" t="n"/>
      <c r="M263" s="15">
        <f>IFERROR(__xludf.DUMMYFUNCTION("""COMPUTED_VALUE"""),"Ngưng SD ngày 05/05/2024")</f>
        <v/>
      </c>
      <c r="N263" s="22" t="n"/>
      <c r="O263" s="22" t="n"/>
      <c r="P263" s="22" t="n"/>
      <c r="Q263" s="22" t="n"/>
      <c r="R263" s="22" t="n"/>
    </row>
    <row r="264">
      <c r="A264" s="7">
        <f>IFERROR(__xludf.DUMMYFUNCTION("""COMPUTED_VALUE"""),239)</f>
        <v/>
      </c>
      <c r="B264" s="8">
        <f>IFERROR(__xludf.DUMMYFUNCTION("""COMPUTED_VALUE"""),"Unity")</f>
        <v/>
      </c>
      <c r="C264" s="51">
        <f>IFERROR(__xludf.DUMMYFUNCTION("""COMPUTED_VALUE"""),"Liên kết Bên dạy bơi Oanh Sơn ")</f>
        <v/>
      </c>
      <c r="D264" s="8" t="n"/>
      <c r="E264" s="8">
        <f>IFERROR(__xludf.DUMMYFUNCTION("""COMPUTED_VALUE"""),"LB 4HVTLMBS")</f>
        <v/>
      </c>
      <c r="F264" s="15">
        <f>IFERROR(__xludf.DUMMYFUNCTION("""COMPUTED_VALUE"""),"xx")</f>
        <v/>
      </c>
      <c r="G264" s="8">
        <f>IFERROR(__xludf.DUMMYFUNCTION("""COMPUTED_VALUE"""),"K.Bơi")</f>
        <v/>
      </c>
      <c r="H264" s="8">
        <f>IFERROR(__xludf.DUMMYFUNCTION("""COMPUTED_VALUE"""),"K.Bơi")</f>
        <v/>
      </c>
      <c r="I264" s="16">
        <f>IFERROR(__xludf.DUMMYFUNCTION("""COMPUTED_VALUE"""),"15 buổi/2 tháng")</f>
        <v/>
      </c>
      <c r="J264" s="16" t="n"/>
      <c r="K264" s="48">
        <f>IFERROR(__xludf.DUMMYFUNCTION("""COMPUTED_VALUE"""),1200000)</f>
        <v/>
      </c>
      <c r="L264" s="46" t="n"/>
      <c r="M264" s="15">
        <f>IFERROR(__xludf.DUMMYFUNCTION("""COMPUTED_VALUE"""),"Ngưng SD ngày 05/05/2024")</f>
        <v/>
      </c>
      <c r="N264" s="22" t="n"/>
      <c r="O264" s="22" t="n"/>
      <c r="P264" s="22" t="n"/>
      <c r="Q264" s="22" t="n"/>
      <c r="R264" s="22" t="n"/>
    </row>
    <row r="265">
      <c r="A265" s="7">
        <f>IFERROR(__xludf.DUMMYFUNCTION("""COMPUTED_VALUE"""),"")</f>
        <v/>
      </c>
      <c r="B265" s="8">
        <f>IFERROR(__xludf.DUMMYFUNCTION("""COMPUTED_VALUE"""),"")</f>
        <v/>
      </c>
      <c r="C265" s="51" t="n"/>
      <c r="D265" s="8" t="n"/>
      <c r="E265" s="8" t="n"/>
      <c r="F265" s="15" t="n"/>
      <c r="G265" s="8" t="n"/>
      <c r="H265" s="8" t="n"/>
      <c r="I265" s="16" t="n"/>
      <c r="J265" s="16" t="n"/>
      <c r="K265" s="48" t="n"/>
      <c r="L265" s="46" t="n"/>
      <c r="M265" s="15" t="n"/>
      <c r="N265" s="22" t="n"/>
      <c r="O265" s="22" t="n"/>
      <c r="P265" s="22" t="n"/>
      <c r="Q265" s="22" t="n"/>
      <c r="R265" s="22" t="n"/>
    </row>
    <row r="266">
      <c r="A266" s="7">
        <f>IFERROR(__xludf.DUMMYFUNCTION("""COMPUTED_VALUE"""),"")</f>
        <v/>
      </c>
      <c r="B266" s="8">
        <f>IFERROR(__xludf.DUMMYFUNCTION("""COMPUTED_VALUE"""),"")</f>
        <v/>
      </c>
      <c r="C266" s="51" t="n"/>
      <c r="D266" s="8" t="n"/>
      <c r="E266" s="8" t="n"/>
      <c r="F266" s="15" t="n"/>
      <c r="G266" s="8" t="n"/>
      <c r="H266" s="8" t="n"/>
      <c r="I266" s="16" t="n"/>
      <c r="J266" s="16" t="n"/>
      <c r="K266" s="48" t="n"/>
      <c r="L266" s="46" t="n"/>
      <c r="M266" s="15" t="n"/>
      <c r="N266" s="22" t="n"/>
      <c r="O266" s="22" t="n"/>
      <c r="P266" s="22" t="n"/>
      <c r="Q266" s="22" t="n"/>
      <c r="R266" s="22" t="n"/>
    </row>
    <row r="267">
      <c r="A267" s="7">
        <f>IFERROR(__xludf.DUMMYFUNCTION("""COMPUTED_VALUE"""),"")</f>
        <v/>
      </c>
      <c r="B267" s="8">
        <f>IFERROR(__xludf.DUMMYFUNCTION("""COMPUTED_VALUE"""),"")</f>
        <v/>
      </c>
      <c r="C267" s="51" t="n"/>
      <c r="D267" s="8" t="n"/>
      <c r="E267" s="8" t="n"/>
      <c r="F267" s="15" t="n"/>
      <c r="G267" s="8" t="n"/>
      <c r="H267" s="8" t="n"/>
      <c r="I267" s="16" t="n"/>
      <c r="J267" s="16" t="n"/>
      <c r="K267" s="48" t="n"/>
      <c r="L267" s="46" t="n"/>
      <c r="M267" s="15" t="n"/>
      <c r="N267" s="22" t="n"/>
      <c r="O267" s="22" t="n"/>
      <c r="P267" s="22" t="n"/>
      <c r="Q267" s="22" t="n"/>
      <c r="R267" s="22" t="n"/>
    </row>
  </sheetData>
  <mergeCells count="11">
    <mergeCell ref="C9:C13"/>
    <mergeCell ref="C92:C94"/>
    <mergeCell ref="C83:C85"/>
    <mergeCell ref="C35:C38"/>
    <mergeCell ref="C86:C88"/>
    <mergeCell ref="C4:C8"/>
    <mergeCell ref="C14:C18"/>
    <mergeCell ref="C31:C34"/>
    <mergeCell ref="C23:C26"/>
    <mergeCell ref="C19:C22"/>
    <mergeCell ref="C89:C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HIEU</dc:creator>
  <dcterms:created xmlns:dcterms="http://purl.org/dc/terms/" xmlns:xsi="http://www.w3.org/2001/XMLSchema-instance" xsi:type="dcterms:W3CDTF">2026-07-25T15:36:12Z</dcterms:created>
  <dcterms:modified xmlns:dcterms="http://purl.org/dc/terms/" xmlns:xsi="http://www.w3.org/2001/XMLSchema-instance" xsi:type="dcterms:W3CDTF">2026-07-26T09:18:52Z</dcterms:modified>
  <cp:lastModifiedBy>HIEU</cp:lastModifiedBy>
</cp:coreProperties>
</file>